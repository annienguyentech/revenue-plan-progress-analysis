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a2cd62cd81a63d2/Documents/KPIM/Data Analytics Fundamental/Datathon3/"/>
    </mc:Choice>
  </mc:AlternateContent>
  <xr:revisionPtr revIDLastSave="53" documentId="8_{AA734BC2-6BFD-4E68-90F6-C24D050D46C4}" xr6:coauthVersionLast="47" xr6:coauthVersionMax="47" xr10:uidLastSave="{629825C2-D9EA-460A-8B78-01C10899DDD6}"/>
  <bookViews>
    <workbookView xWindow="-110" yWindow="-110" windowWidth="23260" windowHeight="14860" xr2:uid="{00000000-000D-0000-FFFF-FFFF00000000}"/>
  </bookViews>
  <sheets>
    <sheet name="Kế Hoạch 2022" sheetId="6" r:id="rId1"/>
    <sheet name="Kế Hoạch 2021" sheetId="5" r:id="rId2"/>
    <sheet name="Kế Hoạch 2020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43" i="5" l="1"/>
  <c r="O42" i="5"/>
  <c r="N41" i="5"/>
  <c r="M41" i="5"/>
  <c r="L41" i="5"/>
  <c r="K41" i="5"/>
  <c r="J41" i="5"/>
  <c r="I41" i="5"/>
  <c r="H41" i="5"/>
  <c r="G41" i="5"/>
  <c r="F41" i="5"/>
  <c r="E41" i="5"/>
  <c r="D41" i="5"/>
  <c r="C41" i="5"/>
  <c r="O40" i="5"/>
  <c r="N39" i="5"/>
  <c r="M39" i="5"/>
  <c r="L39" i="5"/>
  <c r="K39" i="5"/>
  <c r="J39" i="5"/>
  <c r="I39" i="5"/>
  <c r="H39" i="5"/>
  <c r="G39" i="5"/>
  <c r="F39" i="5"/>
  <c r="E39" i="5"/>
  <c r="D39" i="5"/>
  <c r="C39" i="5"/>
  <c r="O38" i="5"/>
  <c r="N37" i="5"/>
  <c r="M37" i="5"/>
  <c r="L37" i="5"/>
  <c r="K37" i="5"/>
  <c r="J37" i="5"/>
  <c r="I37" i="5"/>
  <c r="H37" i="5"/>
  <c r="G37" i="5"/>
  <c r="F37" i="5"/>
  <c r="E37" i="5"/>
  <c r="D37" i="5"/>
  <c r="C37" i="5"/>
  <c r="O37" i="5" s="1"/>
  <c r="O36" i="5"/>
  <c r="O35" i="5"/>
  <c r="O34" i="5"/>
  <c r="N33" i="5"/>
  <c r="M33" i="5"/>
  <c r="L33" i="5"/>
  <c r="K33" i="5"/>
  <c r="J33" i="5"/>
  <c r="I33" i="5"/>
  <c r="H33" i="5"/>
  <c r="G33" i="5"/>
  <c r="F33" i="5"/>
  <c r="E33" i="5"/>
  <c r="D33" i="5"/>
  <c r="C33" i="5"/>
  <c r="O32" i="5"/>
  <c r="O31" i="5"/>
  <c r="O30" i="5"/>
  <c r="O29" i="5"/>
  <c r="N28" i="5"/>
  <c r="M28" i="5"/>
  <c r="L28" i="5"/>
  <c r="K28" i="5"/>
  <c r="J28" i="5"/>
  <c r="I28" i="5"/>
  <c r="H28" i="5"/>
  <c r="G28" i="5"/>
  <c r="F28" i="5"/>
  <c r="E28" i="5"/>
  <c r="D28" i="5"/>
  <c r="C28" i="5"/>
  <c r="O27" i="5"/>
  <c r="O26" i="5"/>
  <c r="O25" i="5"/>
  <c r="O24" i="5"/>
  <c r="N23" i="5"/>
  <c r="M23" i="5"/>
  <c r="L23" i="5"/>
  <c r="K23" i="5"/>
  <c r="J23" i="5"/>
  <c r="I23" i="5"/>
  <c r="H23" i="5"/>
  <c r="G23" i="5"/>
  <c r="F23" i="5"/>
  <c r="E23" i="5"/>
  <c r="D23" i="5"/>
  <c r="C23" i="5"/>
  <c r="O22" i="5"/>
  <c r="O21" i="5"/>
  <c r="O20" i="5"/>
  <c r="N19" i="5"/>
  <c r="M19" i="5"/>
  <c r="L19" i="5"/>
  <c r="K19" i="5"/>
  <c r="J19" i="5"/>
  <c r="I19" i="5"/>
  <c r="H19" i="5"/>
  <c r="G19" i="5"/>
  <c r="F19" i="5"/>
  <c r="E19" i="5"/>
  <c r="D19" i="5"/>
  <c r="C19" i="5"/>
  <c r="O18" i="5"/>
  <c r="O17" i="5"/>
  <c r="O16" i="5"/>
  <c r="O15" i="5"/>
  <c r="O14" i="5"/>
  <c r="O13" i="5"/>
  <c r="N12" i="5"/>
  <c r="M12" i="5"/>
  <c r="L12" i="5"/>
  <c r="K12" i="5"/>
  <c r="J12" i="5"/>
  <c r="I12" i="5"/>
  <c r="H12" i="5"/>
  <c r="G12" i="5"/>
  <c r="F12" i="5"/>
  <c r="E12" i="5"/>
  <c r="D12" i="5"/>
  <c r="C12" i="5"/>
  <c r="O12" i="5" s="1"/>
  <c r="O11" i="5"/>
  <c r="O10" i="5"/>
  <c r="O9" i="5"/>
  <c r="N8" i="5"/>
  <c r="M8" i="5"/>
  <c r="L8" i="5"/>
  <c r="K8" i="5"/>
  <c r="J8" i="5"/>
  <c r="J44" i="5" s="1"/>
  <c r="I8" i="5"/>
  <c r="H8" i="5"/>
  <c r="G8" i="5"/>
  <c r="F8" i="5"/>
  <c r="E8" i="5"/>
  <c r="D8" i="5"/>
  <c r="C8" i="5"/>
  <c r="O7" i="5"/>
  <c r="O6" i="5"/>
  <c r="N5" i="5"/>
  <c r="M5" i="5"/>
  <c r="L5" i="5"/>
  <c r="K5" i="5"/>
  <c r="J5" i="5"/>
  <c r="I5" i="5"/>
  <c r="H5" i="5"/>
  <c r="G5" i="5"/>
  <c r="F5" i="5"/>
  <c r="E5" i="5"/>
  <c r="D5" i="5"/>
  <c r="C5" i="5"/>
  <c r="O43" i="4"/>
  <c r="O42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O40" i="4"/>
  <c r="N39" i="4"/>
  <c r="M39" i="4"/>
  <c r="L39" i="4"/>
  <c r="K39" i="4"/>
  <c r="J39" i="4"/>
  <c r="I39" i="4"/>
  <c r="H39" i="4"/>
  <c r="G39" i="4"/>
  <c r="F39" i="4"/>
  <c r="E39" i="4"/>
  <c r="D39" i="4"/>
  <c r="C39" i="4"/>
  <c r="O38" i="4"/>
  <c r="N37" i="4"/>
  <c r="M37" i="4"/>
  <c r="L37" i="4"/>
  <c r="K37" i="4"/>
  <c r="J37" i="4"/>
  <c r="I37" i="4"/>
  <c r="H37" i="4"/>
  <c r="G37" i="4"/>
  <c r="F37" i="4"/>
  <c r="E37" i="4"/>
  <c r="D37" i="4"/>
  <c r="C37" i="4"/>
  <c r="O36" i="4"/>
  <c r="O35" i="4"/>
  <c r="O34" i="4"/>
  <c r="N33" i="4"/>
  <c r="M33" i="4"/>
  <c r="L33" i="4"/>
  <c r="K33" i="4"/>
  <c r="J33" i="4"/>
  <c r="I33" i="4"/>
  <c r="H33" i="4"/>
  <c r="G33" i="4"/>
  <c r="F33" i="4"/>
  <c r="E33" i="4"/>
  <c r="D33" i="4"/>
  <c r="C33" i="4"/>
  <c r="O32" i="4"/>
  <c r="O31" i="4"/>
  <c r="O30" i="4"/>
  <c r="O29" i="4"/>
  <c r="N28" i="4"/>
  <c r="M28" i="4"/>
  <c r="L28" i="4"/>
  <c r="K28" i="4"/>
  <c r="J28" i="4"/>
  <c r="I28" i="4"/>
  <c r="H28" i="4"/>
  <c r="G28" i="4"/>
  <c r="F28" i="4"/>
  <c r="E28" i="4"/>
  <c r="D28" i="4"/>
  <c r="C28" i="4"/>
  <c r="O27" i="4"/>
  <c r="O26" i="4"/>
  <c r="O25" i="4"/>
  <c r="O24" i="4"/>
  <c r="N23" i="4"/>
  <c r="M23" i="4"/>
  <c r="L23" i="4"/>
  <c r="K23" i="4"/>
  <c r="J23" i="4"/>
  <c r="I23" i="4"/>
  <c r="H23" i="4"/>
  <c r="G23" i="4"/>
  <c r="F23" i="4"/>
  <c r="E23" i="4"/>
  <c r="D23" i="4"/>
  <c r="C23" i="4"/>
  <c r="O22" i="4"/>
  <c r="O21" i="4"/>
  <c r="O20" i="4"/>
  <c r="N19" i="4"/>
  <c r="M19" i="4"/>
  <c r="L19" i="4"/>
  <c r="K19" i="4"/>
  <c r="J19" i="4"/>
  <c r="I19" i="4"/>
  <c r="H19" i="4"/>
  <c r="G19" i="4"/>
  <c r="F19" i="4"/>
  <c r="E19" i="4"/>
  <c r="D19" i="4"/>
  <c r="C19" i="4"/>
  <c r="O18" i="4"/>
  <c r="O17" i="4"/>
  <c r="O16" i="4"/>
  <c r="O15" i="4"/>
  <c r="O14" i="4"/>
  <c r="O13" i="4"/>
  <c r="N12" i="4"/>
  <c r="M12" i="4"/>
  <c r="L12" i="4"/>
  <c r="K12" i="4"/>
  <c r="J12" i="4"/>
  <c r="I12" i="4"/>
  <c r="H12" i="4"/>
  <c r="G12" i="4"/>
  <c r="F12" i="4"/>
  <c r="E12" i="4"/>
  <c r="D12" i="4"/>
  <c r="C12" i="4"/>
  <c r="O11" i="4"/>
  <c r="O10" i="4"/>
  <c r="O9" i="4"/>
  <c r="N8" i="4"/>
  <c r="M8" i="4"/>
  <c r="L8" i="4"/>
  <c r="K8" i="4"/>
  <c r="J8" i="4"/>
  <c r="I8" i="4"/>
  <c r="H8" i="4"/>
  <c r="G8" i="4"/>
  <c r="F8" i="4"/>
  <c r="E8" i="4"/>
  <c r="D8" i="4"/>
  <c r="C8" i="4"/>
  <c r="O7" i="4"/>
  <c r="O6" i="4"/>
  <c r="N5" i="4"/>
  <c r="M5" i="4"/>
  <c r="L5" i="4"/>
  <c r="K5" i="4"/>
  <c r="J5" i="4"/>
  <c r="I5" i="4"/>
  <c r="H5" i="4"/>
  <c r="G5" i="4"/>
  <c r="G44" i="4" s="1"/>
  <c r="F5" i="4"/>
  <c r="E5" i="4"/>
  <c r="D5" i="4"/>
  <c r="C5" i="4"/>
  <c r="I44" i="4" l="1"/>
  <c r="O39" i="4"/>
  <c r="O8" i="4"/>
  <c r="O28" i="4"/>
  <c r="O33" i="4"/>
  <c r="J44" i="4"/>
  <c r="C44" i="4"/>
  <c r="K44" i="4"/>
  <c r="D44" i="4"/>
  <c r="L44" i="4"/>
  <c r="O5" i="4"/>
  <c r="O37" i="4"/>
  <c r="O23" i="4"/>
  <c r="H44" i="4"/>
  <c r="O12" i="4"/>
  <c r="E44" i="4"/>
  <c r="M44" i="4"/>
  <c r="O19" i="4"/>
  <c r="F44" i="4"/>
  <c r="N44" i="4"/>
  <c r="O41" i="5"/>
  <c r="O39" i="5"/>
  <c r="O33" i="5"/>
  <c r="O28" i="5"/>
  <c r="O23" i="5"/>
  <c r="I44" i="5"/>
  <c r="O19" i="5"/>
  <c r="C44" i="5"/>
  <c r="K44" i="5"/>
  <c r="G44" i="5"/>
  <c r="O8" i="5"/>
  <c r="D44" i="5"/>
  <c r="L44" i="5"/>
  <c r="E44" i="5"/>
  <c r="M44" i="5"/>
  <c r="F44" i="5"/>
  <c r="N44" i="5"/>
  <c r="O5" i="5"/>
  <c r="H44" i="5"/>
  <c r="O44" i="4"/>
  <c r="O44" i="5" l="1"/>
</calcChain>
</file>

<file path=xl/sharedStrings.xml><?xml version="1.0" encoding="utf-8"?>
<sst xmlns="http://schemas.openxmlformats.org/spreadsheetml/2006/main" count="1141" uniqueCount="65">
  <si>
    <t xml:space="preserve">               Kế Hoạch Doanh Thu theo Cửa Hàng</t>
  </si>
  <si>
    <t xml:space="preserve">                  Áp dụng cho 12 tháng năm 2022</t>
  </si>
  <si>
    <t>*Đơn vị tiền tệ: Việt Nam Đồng (đ)</t>
  </si>
  <si>
    <t>Quận</t>
  </si>
  <si>
    <t>Cửa Hàng</t>
  </si>
  <si>
    <t>Tháng</t>
  </si>
  <si>
    <t>Kế Hoạch Doanh Thu</t>
  </si>
  <si>
    <t>Ba Đình</t>
  </si>
  <si>
    <t>Dốc Chợ Thành Công</t>
  </si>
  <si>
    <t>1/1/2022</t>
  </si>
  <si>
    <t>2/1/2022</t>
  </si>
  <si>
    <t>3/1/2022</t>
  </si>
  <si>
    <t>4/1/2022</t>
  </si>
  <si>
    <t>5/1/2022</t>
  </si>
  <si>
    <t>Thanh Xuân</t>
  </si>
  <si>
    <t>6/1/2022</t>
  </si>
  <si>
    <t>7/1/2022</t>
  </si>
  <si>
    <t>8/1/2022</t>
  </si>
  <si>
    <t>9/1/2022</t>
  </si>
  <si>
    <t>10/1/2022</t>
  </si>
  <si>
    <t>11/1/2022</t>
  </si>
  <si>
    <t>12/1/2022</t>
  </si>
  <si>
    <t>Ngọc Hồ</t>
  </si>
  <si>
    <t>Royal City</t>
  </si>
  <si>
    <t>Vũ Tông Phan</t>
  </si>
  <si>
    <t>Golden Land</t>
  </si>
  <si>
    <t>Cầu Giấy</t>
  </si>
  <si>
    <t>CT1 Vimeco Nguyễn Chánh</t>
  </si>
  <si>
    <t>Dịch Vọng</t>
  </si>
  <si>
    <t>Nghĩa Đô</t>
  </si>
  <si>
    <t>Nguyễn Khang</t>
  </si>
  <si>
    <t>Nguyễn Khánh Toàn</t>
  </si>
  <si>
    <t>Trần Duy Hưng</t>
  </si>
  <si>
    <t>Đống Đa</t>
  </si>
  <si>
    <t>Hồ Đắc Di</t>
  </si>
  <si>
    <t>Tây Sơn</t>
  </si>
  <si>
    <t>Hai Bà Trưng</t>
  </si>
  <si>
    <t>Hàn Thuyên</t>
  </si>
  <si>
    <t>Phan Chu Trinh</t>
  </si>
  <si>
    <t>Phố Huế</t>
  </si>
  <si>
    <t>UDIC Riverside 1</t>
  </si>
  <si>
    <t>Hoàn Kiếm</t>
  </si>
  <si>
    <t>Bạch Đằng</t>
  </si>
  <si>
    <t>Hàng Buồm</t>
  </si>
  <si>
    <t>Hàng Trống</t>
  </si>
  <si>
    <t>Phúc Tân</t>
  </si>
  <si>
    <t>Long Biên</t>
  </si>
  <si>
    <t>Đức Giang</t>
  </si>
  <si>
    <t>Thạch Bàn</t>
  </si>
  <si>
    <t>Việt Hưng</t>
  </si>
  <si>
    <t>Nam Từ Liêm</t>
  </si>
  <si>
    <t>CT1A Hateco Apolo</t>
  </si>
  <si>
    <t>Quận Hoàng Mai</t>
  </si>
  <si>
    <t>Lĩnh Nam</t>
  </si>
  <si>
    <t>Tây Hồ</t>
  </si>
  <si>
    <t>SunPlaza</t>
  </si>
  <si>
    <t>Võng Thị</t>
  </si>
  <si>
    <t xml:space="preserve">       Kế Hoạch Doanh Thu theo Cửa Hàng</t>
  </si>
  <si>
    <t xml:space="preserve">         Áp dụng cho 12 tháng năm 2021</t>
  </si>
  <si>
    <t>Quận / Cửa Hàng Kinh Doanh</t>
  </si>
  <si>
    <t>Tổng 2021</t>
  </si>
  <si>
    <t>Tổng Kế Hoạch</t>
  </si>
  <si>
    <t xml:space="preserve">         Áp dụng cho 12 tháng năm 2020</t>
  </si>
  <si>
    <t>Tổng 2020</t>
  </si>
  <si>
    <t>Chợ Dừa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</si>
</sst>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(* #,##0.00_);_(* \(#,##0.00\);_(* &quot;-&quot;??_);_(@_)"/>
    <numFmt numFmtId="164" formatCode="_(* #,##0_);_(* \(#,##0\);_(* &quot;-&quot;??_);_(@_)"/>
    <numFmt numFmtId="165" formatCode="mm/yyyy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sz val="11"/>
      <color theme="3"/>
      <name val="Calibri"/>
      <family val="2"/>
      <scheme val="minor"/>
    </font>
    <font>
      <i/>
      <sz val="10"/>
      <color theme="7" tint="0.7999816888943144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1"/>
      <color theme="0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/>
        <bgColor theme="4" tint="0.79998168889431442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2">
    <xf numFmtId="0" fontId="0" fillId="0" borderId="0" xfId="0"/>
    <xf numFmtId="0" fontId="0" fillId="0" borderId="0" xfId="0" applyAlignment="1">
      <alignment horizontal="left" indent="1"/>
    </xf>
    <xf numFmtId="0" fontId="18" fillId="0" borderId="0" xfId="0" applyFont="1"/>
    <xf numFmtId="0" fontId="0" fillId="34" borderId="0" xfId="0" applyFill="1" applyAlignment="1">
      <alignment vertical="center"/>
    </xf>
    <xf numFmtId="0" fontId="20" fillId="34" borderId="0" xfId="0" applyFont="1" applyFill="1" applyAlignment="1">
      <alignment vertical="top"/>
    </xf>
    <xf numFmtId="0" fontId="21" fillId="34" borderId="0" xfId="0" applyFont="1" applyFill="1" applyAlignment="1">
      <alignment vertical="center"/>
    </xf>
    <xf numFmtId="0" fontId="22" fillId="34" borderId="0" xfId="0" applyFont="1" applyFill="1" applyAlignment="1">
      <alignment vertical="center"/>
    </xf>
    <xf numFmtId="0" fontId="13" fillId="35" borderId="10" xfId="0" applyFont="1" applyFill="1" applyBorder="1" applyAlignment="1">
      <alignment horizontal="left"/>
    </xf>
    <xf numFmtId="0" fontId="13" fillId="34" borderId="0" xfId="0" applyFont="1" applyFill="1" applyAlignment="1">
      <alignment horizontal="right"/>
    </xf>
    <xf numFmtId="0" fontId="0" fillId="0" borderId="11" xfId="0" applyBorder="1" applyAlignment="1">
      <alignment horizontal="left" indent="1"/>
    </xf>
    <xf numFmtId="164" fontId="0" fillId="0" borderId="11" xfId="1" applyNumberFormat="1" applyFont="1" applyBorder="1"/>
    <xf numFmtId="164" fontId="19" fillId="33" borderId="11" xfId="1" applyNumberFormat="1" applyFont="1" applyFill="1" applyBorder="1"/>
    <xf numFmtId="0" fontId="17" fillId="34" borderId="11" xfId="0" applyFont="1" applyFill="1" applyBorder="1"/>
    <xf numFmtId="164" fontId="17" fillId="34" borderId="11" xfId="1" applyNumberFormat="1" applyFont="1" applyFill="1" applyBorder="1"/>
    <xf numFmtId="0" fontId="13" fillId="34" borderId="0" xfId="0" applyFont="1" applyFill="1" applyAlignment="1">
      <alignment horizontal="left"/>
    </xf>
    <xf numFmtId="165" fontId="13" fillId="34" borderId="0" xfId="0" applyNumberFormat="1" applyFont="1" applyFill="1" applyAlignment="1">
      <alignment horizontal="right"/>
    </xf>
    <xf numFmtId="0" fontId="0" fillId="0" borderId="13" xfId="0" applyBorder="1" applyAlignment="1">
      <alignment horizontal="left" indent="1"/>
    </xf>
    <xf numFmtId="164" fontId="0" fillId="0" borderId="13" xfId="1" applyNumberFormat="1" applyFont="1" applyBorder="1"/>
    <xf numFmtId="164" fontId="19" fillId="33" borderId="13" xfId="1" applyNumberFormat="1" applyFont="1" applyFill="1" applyBorder="1"/>
    <xf numFmtId="0" fontId="0" fillId="0" borderId="14" xfId="0" applyBorder="1" applyAlignment="1">
      <alignment horizontal="left" indent="1"/>
    </xf>
    <xf numFmtId="164" fontId="0" fillId="0" borderId="14" xfId="1" applyNumberFormat="1" applyFont="1" applyBorder="1"/>
    <xf numFmtId="164" fontId="19" fillId="33" borderId="14" xfId="1" applyNumberFormat="1" applyFont="1" applyFill="1" applyBorder="1"/>
    <xf numFmtId="164" fontId="0" fillId="0" borderId="0" xfId="1" applyNumberFormat="1" applyFont="1" applyBorder="1"/>
    <xf numFmtId="164" fontId="19" fillId="33" borderId="0" xfId="1" applyNumberFormat="1" applyFont="1" applyFill="1" applyBorder="1"/>
    <xf numFmtId="0" fontId="5" fillId="33" borderId="12" xfId="0" applyFont="1" applyFill="1" applyBorder="1"/>
    <xf numFmtId="0" fontId="19" fillId="33" borderId="12" xfId="0" applyFont="1" applyFill="1" applyBorder="1"/>
    <xf numFmtId="164" fontId="5" fillId="33" borderId="12" xfId="1" applyNumberFormat="1" applyFont="1" applyFill="1" applyBorder="1"/>
    <xf numFmtId="0" fontId="23" fillId="34" borderId="0" xfId="0" applyFont="1" applyFill="1" applyAlignment="1">
      <alignment horizontal="right" vertical="top"/>
    </xf>
    <xf numFmtId="0" fontId="0" fillId="0" borderId="0" xfId="0" applyAlignment="1">
      <alignment vertical="center"/>
    </xf>
    <xf numFmtId="0" fontId="24" fillId="0" borderId="0" xfId="0" applyFont="1"/>
    <xf numFmtId="0" fontId="25" fillId="34" borderId="0" xfId="0" applyFont="1" applyFill="1"/>
    <xf numFmtId="0" fontId="25" fillId="34" borderId="0" xfId="0" applyFont="1" applyFill="1" applyAlignment="1">
      <alignment horizontal="right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0" formatCode="General"/>
      <fill>
        <patternFill patternType="solid">
          <fgColor indexed="64"/>
          <bgColor theme="3"/>
        </patternFill>
      </fill>
      <alignment horizontal="general" vertical="bottom" textRotation="0" wrapText="0" indent="0" justifyLastLine="0" shrinkToFit="0" readingOrder="0"/>
      <protection locked="1" hidden="0"/>
    </dxf>
  </dxfs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44195" y="57152"/>
    <xdr:ext cx="313936" cy="314738"/>
    <xdr:pic>
      <xdr:nvPicPr>
        <xdr:cNvPr id="2" name="Picture 1">
          <a:extLst>
            <a:ext uri="{FF2B5EF4-FFF2-40B4-BE49-F238E27FC236}">
              <a16:creationId xmlns:a16="http://schemas.microsoft.com/office/drawing/2014/main" id="{16E16F34-242C-458E-9518-1F42F37AA8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195" y="57152"/>
          <a:ext cx="313936" cy="314738"/>
        </a:xfrm>
        <a:prstGeom prst="rect">
          <a:avLst/>
        </a:prstGeom>
      </xdr:spPr>
    </xdr:pic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94665" y="60962"/>
    <xdr:ext cx="313936" cy="314738"/>
    <xdr:pic>
      <xdr:nvPicPr>
        <xdr:cNvPr id="2" name="Picture 1">
          <a:extLst>
            <a:ext uri="{FF2B5EF4-FFF2-40B4-BE49-F238E27FC236}">
              <a16:creationId xmlns:a16="http://schemas.microsoft.com/office/drawing/2014/main" id="{E97FE55E-6A40-4304-90E3-70EE235C4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665" y="60962"/>
          <a:ext cx="313936" cy="314738"/>
        </a:xfrm>
        <a:prstGeom prst="rect">
          <a:avLst/>
        </a:prstGeom>
      </xdr:spPr>
    </xdr:pic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94665" y="60962"/>
    <xdr:ext cx="313936" cy="314738"/>
    <xdr:pic>
      <xdr:nvPicPr>
        <xdr:cNvPr id="2" name="Picture 1">
          <a:extLst>
            <a:ext uri="{FF2B5EF4-FFF2-40B4-BE49-F238E27FC236}">
              <a16:creationId xmlns:a16="http://schemas.microsoft.com/office/drawing/2014/main" id="{9C7EFCFD-BAB0-40E1-AD1B-BC91831464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665" y="60962"/>
          <a:ext cx="313936" cy="314738"/>
        </a:xfrm>
        <a:prstGeom prst="rect">
          <a:avLst/>
        </a:prstGeom>
      </xdr:spPr>
    </xdr:pic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4AFA9B-6CC5-4942-9815-520FBB3D7534}" name="Table1" displayName="Table1" ref="A4:D352" totalsRowShown="0" headerRowDxfId="5" dataDxfId="4">
  <autoFilter ref="A4:D352" xr:uid="{E74AFA9B-6CC5-4942-9815-520FBB3D7534}"/>
  <tableColumns count="4">
    <tableColumn id="1" xr3:uid="{A5F2E89B-50B1-46CB-A471-452DA2ED3D15}" name="Quận" dataDxfId="3"/>
    <tableColumn id="2" xr3:uid="{4643E6A1-0BD9-4AD8-8179-1970DF816C67}" name="Cửa Hàng" dataDxfId="2"/>
    <tableColumn id="3" xr3:uid="{1B3266EC-9FB8-4E83-8D9B-6C240AD062A1}" name="Tháng" dataDxfId="1"/>
    <tableColumn id="4" xr3:uid="{AFF36A06-8D59-46F3-B144-3633D312F825}" name="Kế Hoạch Doanh Thu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054BE-238E-4A3F-9A24-3268C5DF25BF}">
  <dimension ref="A1:O352"/>
  <sheetViews>
    <sheetView showGridLines="0" tabSelected="1" zoomScale="70" zoomScaleNormal="70" workbookViewId="0">
      <selection activeCell="F145" sqref="F145"/>
    </sheetView>
  </sheetViews>
  <sheetFormatPr defaultRowHeight="14.5" x14ac:dyDescent="0.35"/>
  <cols>
    <col min="1" max="2" width="37.453125" bestFit="1" customWidth="1"/>
    <col min="3" max="3" width="8.26953125" bestFit="1" customWidth="1"/>
    <col min="4" max="4" width="20.1796875" customWidth="1"/>
    <col min="5" max="14" width="14.26953125" bestFit="1" customWidth="1"/>
    <col min="15" max="15" width="15.81640625" bestFit="1" customWidth="1"/>
  </cols>
  <sheetData>
    <row r="1" spans="1:15" s="28" customFormat="1" ht="19" customHeight="1" x14ac:dyDescent="0.35">
      <c r="A1" s="6" t="s">
        <v>0</v>
      </c>
      <c r="B1" s="3"/>
      <c r="C1" s="6"/>
      <c r="D1" s="6"/>
      <c r="E1"/>
      <c r="F1"/>
      <c r="G1"/>
      <c r="H1"/>
      <c r="I1"/>
      <c r="J1"/>
      <c r="K1"/>
      <c r="L1"/>
      <c r="M1"/>
      <c r="N1"/>
      <c r="O1"/>
    </row>
    <row r="2" spans="1:15" s="28" customFormat="1" ht="16.149999999999999" customHeight="1" x14ac:dyDescent="0.35">
      <c r="A2" s="4" t="s">
        <v>1</v>
      </c>
      <c r="B2" s="3"/>
      <c r="C2" s="4"/>
      <c r="D2" s="27" t="s">
        <v>2</v>
      </c>
      <c r="E2"/>
      <c r="F2"/>
      <c r="G2"/>
      <c r="H2"/>
      <c r="I2"/>
      <c r="J2"/>
      <c r="K2"/>
      <c r="L2"/>
      <c r="M2"/>
      <c r="N2"/>
      <c r="O2"/>
    </row>
    <row r="3" spans="1:15" ht="10.15" customHeight="1" x14ac:dyDescent="0.35"/>
    <row r="4" spans="1:15" x14ac:dyDescent="0.35">
      <c r="A4" s="30" t="s">
        <v>3</v>
      </c>
      <c r="B4" s="30" t="s">
        <v>4</v>
      </c>
      <c r="C4" s="30" t="s">
        <v>5</v>
      </c>
      <c r="D4" s="31" t="s">
        <v>6</v>
      </c>
    </row>
    <row r="5" spans="1:15" x14ac:dyDescent="0.35">
      <c r="A5" s="29" t="s">
        <v>7</v>
      </c>
      <c r="B5" s="29" t="s">
        <v>8</v>
      </c>
      <c r="C5" s="29" t="s">
        <v>9</v>
      </c>
      <c r="D5" s="29">
        <v>7964600</v>
      </c>
    </row>
    <row r="6" spans="1:15" x14ac:dyDescent="0.35">
      <c r="A6" s="29" t="s">
        <v>7</v>
      </c>
      <c r="B6" s="29" t="s">
        <v>8</v>
      </c>
      <c r="C6" s="29" t="s">
        <v>10</v>
      </c>
      <c r="D6" s="29">
        <v>24498100</v>
      </c>
    </row>
    <row r="7" spans="1:15" x14ac:dyDescent="0.35">
      <c r="A7" s="29" t="s">
        <v>7</v>
      </c>
      <c r="B7" s="29" t="s">
        <v>8</v>
      </c>
      <c r="C7" s="29" t="s">
        <v>11</v>
      </c>
      <c r="D7" s="29">
        <v>14822000</v>
      </c>
    </row>
    <row r="8" spans="1:15" x14ac:dyDescent="0.35">
      <c r="A8" s="29" t="s">
        <v>7</v>
      </c>
      <c r="B8" s="29" t="s">
        <v>8</v>
      </c>
      <c r="C8" s="29" t="s">
        <v>12</v>
      </c>
      <c r="D8" s="29">
        <v>16383000</v>
      </c>
    </row>
    <row r="9" spans="1:15" x14ac:dyDescent="0.35">
      <c r="A9" s="29" t="s">
        <v>7</v>
      </c>
      <c r="B9" s="29" t="s">
        <v>8</v>
      </c>
      <c r="C9" s="29" t="s">
        <v>13</v>
      </c>
      <c r="D9" s="29">
        <v>29362300</v>
      </c>
    </row>
    <row r="10" spans="1:15" x14ac:dyDescent="0.35">
      <c r="A10" s="29" t="s">
        <v>14</v>
      </c>
      <c r="B10" s="29" t="s">
        <v>8</v>
      </c>
      <c r="C10" s="29" t="s">
        <v>15</v>
      </c>
      <c r="D10" s="29">
        <v>46650800</v>
      </c>
    </row>
    <row r="11" spans="1:15" x14ac:dyDescent="0.35">
      <c r="A11" s="29" t="s">
        <v>7</v>
      </c>
      <c r="B11" s="29" t="s">
        <v>8</v>
      </c>
      <c r="C11" s="29" t="s">
        <v>16</v>
      </c>
      <c r="D11" s="29">
        <v>25186900</v>
      </c>
    </row>
    <row r="12" spans="1:15" x14ac:dyDescent="0.35">
      <c r="A12" s="29" t="s">
        <v>7</v>
      </c>
      <c r="B12" s="29" t="s">
        <v>8</v>
      </c>
      <c r="C12" s="29" t="s">
        <v>17</v>
      </c>
      <c r="D12" s="29">
        <v>33967900</v>
      </c>
    </row>
    <row r="13" spans="1:15" x14ac:dyDescent="0.35">
      <c r="A13" s="29" t="s">
        <v>7</v>
      </c>
      <c r="B13" s="29" t="s">
        <v>8</v>
      </c>
      <c r="C13" s="29" t="s">
        <v>18</v>
      </c>
      <c r="D13" s="29">
        <v>33714600</v>
      </c>
    </row>
    <row r="14" spans="1:15" x14ac:dyDescent="0.35">
      <c r="A14" s="29" t="s">
        <v>7</v>
      </c>
      <c r="B14" s="29" t="s">
        <v>8</v>
      </c>
      <c r="C14" s="29" t="s">
        <v>19</v>
      </c>
      <c r="D14" s="29">
        <v>43303300</v>
      </c>
    </row>
    <row r="15" spans="1:15" x14ac:dyDescent="0.35">
      <c r="A15" s="29" t="s">
        <v>7</v>
      </c>
      <c r="B15" s="29" t="s">
        <v>8</v>
      </c>
      <c r="C15" s="29" t="s">
        <v>20</v>
      </c>
      <c r="D15" s="29">
        <v>52246900</v>
      </c>
    </row>
    <row r="16" spans="1:15" x14ac:dyDescent="0.35">
      <c r="A16" s="29" t="s">
        <v>7</v>
      </c>
      <c r="B16" s="29" t="s">
        <v>8</v>
      </c>
      <c r="C16" s="29" t="s">
        <v>21</v>
      </c>
      <c r="D16" s="29">
        <v>94390600</v>
      </c>
    </row>
    <row r="17" spans="1:4" x14ac:dyDescent="0.35">
      <c r="A17" s="29" t="s">
        <v>7</v>
      </c>
      <c r="B17" s="29" t="s">
        <v>22</v>
      </c>
      <c r="C17" s="29" t="s">
        <v>9</v>
      </c>
      <c r="D17" s="29">
        <v>25228600</v>
      </c>
    </row>
    <row r="18" spans="1:4" x14ac:dyDescent="0.35">
      <c r="A18" s="29" t="s">
        <v>7</v>
      </c>
      <c r="B18" s="29" t="s">
        <v>22</v>
      </c>
      <c r="C18" s="29" t="s">
        <v>10</v>
      </c>
      <c r="D18" s="29">
        <v>12952900</v>
      </c>
    </row>
    <row r="19" spans="1:4" x14ac:dyDescent="0.35">
      <c r="A19" s="29" t="s">
        <v>7</v>
      </c>
      <c r="B19" s="29" t="s">
        <v>22</v>
      </c>
      <c r="C19" s="29" t="s">
        <v>11</v>
      </c>
      <c r="D19" s="29">
        <v>9844200</v>
      </c>
    </row>
    <row r="20" spans="1:4" ht="14.5" customHeight="1" x14ac:dyDescent="0.35">
      <c r="A20" s="29" t="s">
        <v>7</v>
      </c>
      <c r="B20" s="29" t="s">
        <v>22</v>
      </c>
      <c r="C20" s="29" t="s">
        <v>12</v>
      </c>
      <c r="D20" s="29">
        <v>22488600</v>
      </c>
    </row>
    <row r="21" spans="1:4" x14ac:dyDescent="0.35">
      <c r="A21" s="29" t="s">
        <v>7</v>
      </c>
      <c r="B21" s="29" t="s">
        <v>22</v>
      </c>
      <c r="C21" s="29" t="s">
        <v>13</v>
      </c>
      <c r="D21" s="29">
        <v>22600800</v>
      </c>
    </row>
    <row r="22" spans="1:4" x14ac:dyDescent="0.35">
      <c r="A22" s="29" t="s">
        <v>7</v>
      </c>
      <c r="B22" s="29" t="s">
        <v>22</v>
      </c>
      <c r="C22" s="29" t="s">
        <v>15</v>
      </c>
      <c r="D22" s="29">
        <v>60782500</v>
      </c>
    </row>
    <row r="23" spans="1:4" x14ac:dyDescent="0.35">
      <c r="A23" s="29" t="s">
        <v>7</v>
      </c>
      <c r="B23" s="29" t="s">
        <v>22</v>
      </c>
      <c r="C23" s="29" t="s">
        <v>16</v>
      </c>
      <c r="D23" s="29">
        <v>29448000</v>
      </c>
    </row>
    <row r="24" spans="1:4" x14ac:dyDescent="0.35">
      <c r="A24" s="29" t="s">
        <v>7</v>
      </c>
      <c r="B24" s="29" t="s">
        <v>22</v>
      </c>
      <c r="C24" s="29" t="s">
        <v>17</v>
      </c>
      <c r="D24" s="29">
        <v>29923500</v>
      </c>
    </row>
    <row r="25" spans="1:4" x14ac:dyDescent="0.35">
      <c r="A25" s="29" t="s">
        <v>7</v>
      </c>
      <c r="B25" s="29" t="s">
        <v>22</v>
      </c>
      <c r="C25" s="29" t="s">
        <v>18</v>
      </c>
      <c r="D25" s="29">
        <v>35127800</v>
      </c>
    </row>
    <row r="26" spans="1:4" x14ac:dyDescent="0.35">
      <c r="A26" s="29" t="s">
        <v>7</v>
      </c>
      <c r="B26" s="29" t="s">
        <v>22</v>
      </c>
      <c r="C26" s="29" t="s">
        <v>19</v>
      </c>
      <c r="D26" s="29">
        <v>59211600</v>
      </c>
    </row>
    <row r="27" spans="1:4" x14ac:dyDescent="0.35">
      <c r="A27" s="29" t="s">
        <v>7</v>
      </c>
      <c r="B27" s="29" t="s">
        <v>22</v>
      </c>
      <c r="C27" s="29" t="s">
        <v>20</v>
      </c>
      <c r="D27" s="29">
        <v>39253200</v>
      </c>
    </row>
    <row r="28" spans="1:4" x14ac:dyDescent="0.35">
      <c r="A28" s="29" t="s">
        <v>7</v>
      </c>
      <c r="B28" s="29" t="s">
        <v>22</v>
      </c>
      <c r="C28" s="29" t="s">
        <v>21</v>
      </c>
      <c r="D28" s="29">
        <v>45706300</v>
      </c>
    </row>
    <row r="29" spans="1:4" x14ac:dyDescent="0.35">
      <c r="A29" s="29" t="s">
        <v>14</v>
      </c>
      <c r="B29" s="29" t="s">
        <v>23</v>
      </c>
      <c r="C29" s="29" t="s">
        <v>9</v>
      </c>
      <c r="D29" s="29">
        <v>11458200</v>
      </c>
    </row>
    <row r="30" spans="1:4" x14ac:dyDescent="0.35">
      <c r="A30" s="29" t="s">
        <v>14</v>
      </c>
      <c r="B30" s="29" t="s">
        <v>23</v>
      </c>
      <c r="C30" s="29" t="s">
        <v>10</v>
      </c>
      <c r="D30" s="29">
        <v>11237500</v>
      </c>
    </row>
    <row r="31" spans="1:4" x14ac:dyDescent="0.35">
      <c r="A31" s="29" t="s">
        <v>14</v>
      </c>
      <c r="B31" s="29" t="s">
        <v>23</v>
      </c>
      <c r="C31" s="29" t="s">
        <v>11</v>
      </c>
      <c r="D31" s="29">
        <v>16422900</v>
      </c>
    </row>
    <row r="32" spans="1:4" x14ac:dyDescent="0.35">
      <c r="A32" s="29" t="s">
        <v>14</v>
      </c>
      <c r="B32" s="29" t="s">
        <v>23</v>
      </c>
      <c r="C32" s="29" t="s">
        <v>12</v>
      </c>
      <c r="D32" s="29">
        <v>17429700</v>
      </c>
    </row>
    <row r="33" spans="1:4" x14ac:dyDescent="0.35">
      <c r="A33" s="29" t="s">
        <v>14</v>
      </c>
      <c r="B33" s="29" t="s">
        <v>23</v>
      </c>
      <c r="C33" s="29" t="s">
        <v>13</v>
      </c>
      <c r="D33" s="29">
        <v>13640900</v>
      </c>
    </row>
    <row r="34" spans="1:4" x14ac:dyDescent="0.35">
      <c r="A34" s="29" t="s">
        <v>14</v>
      </c>
      <c r="B34" s="29" t="s">
        <v>23</v>
      </c>
      <c r="C34" s="29" t="s">
        <v>15</v>
      </c>
      <c r="D34" s="29">
        <v>21795200</v>
      </c>
    </row>
    <row r="35" spans="1:4" x14ac:dyDescent="0.35">
      <c r="A35" s="29" t="s">
        <v>14</v>
      </c>
      <c r="B35" s="29" t="s">
        <v>23</v>
      </c>
      <c r="C35" s="29" t="s">
        <v>16</v>
      </c>
      <c r="D35" s="29">
        <v>22775300</v>
      </c>
    </row>
    <row r="36" spans="1:4" x14ac:dyDescent="0.35">
      <c r="A36" s="29" t="s">
        <v>14</v>
      </c>
      <c r="B36" s="29" t="s">
        <v>23</v>
      </c>
      <c r="C36" s="29" t="s">
        <v>17</v>
      </c>
      <c r="D36" s="29">
        <v>21324000</v>
      </c>
    </row>
    <row r="37" spans="1:4" x14ac:dyDescent="0.35">
      <c r="A37" s="29" t="s">
        <v>14</v>
      </c>
      <c r="B37" s="29" t="s">
        <v>23</v>
      </c>
      <c r="C37" s="29" t="s">
        <v>18</v>
      </c>
      <c r="D37" s="29">
        <v>16465300</v>
      </c>
    </row>
    <row r="38" spans="1:4" x14ac:dyDescent="0.35">
      <c r="A38" s="29" t="s">
        <v>14</v>
      </c>
      <c r="B38" s="29" t="s">
        <v>23</v>
      </c>
      <c r="C38" s="29" t="s">
        <v>19</v>
      </c>
      <c r="D38" s="29">
        <v>21804400</v>
      </c>
    </row>
    <row r="39" spans="1:4" x14ac:dyDescent="0.35">
      <c r="A39" s="29" t="s">
        <v>14</v>
      </c>
      <c r="B39" s="29" t="s">
        <v>23</v>
      </c>
      <c r="C39" s="29" t="s">
        <v>20</v>
      </c>
      <c r="D39" s="29">
        <v>32387900</v>
      </c>
    </row>
    <row r="40" spans="1:4" x14ac:dyDescent="0.35">
      <c r="A40" s="29" t="s">
        <v>14</v>
      </c>
      <c r="B40" s="29" t="s">
        <v>23</v>
      </c>
      <c r="C40" s="29" t="s">
        <v>21</v>
      </c>
      <c r="D40" s="29">
        <v>24654800</v>
      </c>
    </row>
    <row r="41" spans="1:4" x14ac:dyDescent="0.35">
      <c r="A41" s="29" t="s">
        <v>14</v>
      </c>
      <c r="B41" s="29" t="s">
        <v>24</v>
      </c>
      <c r="C41" s="29" t="s">
        <v>9</v>
      </c>
      <c r="D41" s="29">
        <v>9460600</v>
      </c>
    </row>
    <row r="42" spans="1:4" x14ac:dyDescent="0.35">
      <c r="A42" s="29" t="s">
        <v>14</v>
      </c>
      <c r="B42" s="29" t="s">
        <v>24</v>
      </c>
      <c r="C42" s="29" t="s">
        <v>10</v>
      </c>
      <c r="D42" s="29">
        <v>12580600</v>
      </c>
    </row>
    <row r="43" spans="1:4" x14ac:dyDescent="0.35">
      <c r="A43" s="29" t="s">
        <v>14</v>
      </c>
      <c r="B43" s="29" t="s">
        <v>24</v>
      </c>
      <c r="C43" s="29" t="s">
        <v>11</v>
      </c>
      <c r="D43" s="29">
        <v>14695900</v>
      </c>
    </row>
    <row r="44" spans="1:4" x14ac:dyDescent="0.35">
      <c r="A44" s="29" t="s">
        <v>14</v>
      </c>
      <c r="B44" s="29" t="s">
        <v>24</v>
      </c>
      <c r="C44" s="29" t="s">
        <v>12</v>
      </c>
      <c r="D44" s="29">
        <v>11393500</v>
      </c>
    </row>
    <row r="45" spans="1:4" x14ac:dyDescent="0.35">
      <c r="A45" s="29" t="s">
        <v>14</v>
      </c>
      <c r="B45" s="29" t="s">
        <v>24</v>
      </c>
      <c r="C45" s="29" t="s">
        <v>13</v>
      </c>
      <c r="D45" s="29">
        <v>12221900</v>
      </c>
    </row>
    <row r="46" spans="1:4" x14ac:dyDescent="0.35">
      <c r="A46" s="29" t="s">
        <v>14</v>
      </c>
      <c r="B46" s="29" t="s">
        <v>24</v>
      </c>
      <c r="C46" s="29" t="s">
        <v>15</v>
      </c>
      <c r="D46" s="29">
        <v>8641900</v>
      </c>
    </row>
    <row r="47" spans="1:4" x14ac:dyDescent="0.35">
      <c r="A47" s="29" t="s">
        <v>14</v>
      </c>
      <c r="B47" s="29" t="s">
        <v>24</v>
      </c>
      <c r="C47" s="29" t="s">
        <v>16</v>
      </c>
      <c r="D47" s="29">
        <v>32797000</v>
      </c>
    </row>
    <row r="48" spans="1:4" x14ac:dyDescent="0.35">
      <c r="A48" s="29" t="s">
        <v>14</v>
      </c>
      <c r="B48" s="29" t="s">
        <v>24</v>
      </c>
      <c r="C48" s="29" t="s">
        <v>17</v>
      </c>
      <c r="D48" s="29">
        <v>17573700</v>
      </c>
    </row>
    <row r="49" spans="1:4" x14ac:dyDescent="0.35">
      <c r="A49" s="29" t="s">
        <v>14</v>
      </c>
      <c r="B49" s="29" t="s">
        <v>24</v>
      </c>
      <c r="C49" s="29" t="s">
        <v>18</v>
      </c>
      <c r="D49" s="29">
        <v>35130800</v>
      </c>
    </row>
    <row r="50" spans="1:4" x14ac:dyDescent="0.35">
      <c r="A50" s="29" t="s">
        <v>14</v>
      </c>
      <c r="B50" s="29" t="s">
        <v>24</v>
      </c>
      <c r="C50" s="29" t="s">
        <v>19</v>
      </c>
      <c r="D50" s="29">
        <v>20966600</v>
      </c>
    </row>
    <row r="51" spans="1:4" x14ac:dyDescent="0.35">
      <c r="A51" s="29" t="s">
        <v>14</v>
      </c>
      <c r="B51" s="29" t="s">
        <v>24</v>
      </c>
      <c r="C51" s="29" t="s">
        <v>20</v>
      </c>
      <c r="D51" s="29">
        <v>33327900</v>
      </c>
    </row>
    <row r="52" spans="1:4" x14ac:dyDescent="0.35">
      <c r="A52" s="29" t="s">
        <v>14</v>
      </c>
      <c r="B52" s="29" t="s">
        <v>24</v>
      </c>
      <c r="C52" s="29" t="s">
        <v>21</v>
      </c>
      <c r="D52" s="29">
        <v>24567200</v>
      </c>
    </row>
    <row r="53" spans="1:4" x14ac:dyDescent="0.35">
      <c r="A53" s="29" t="s">
        <v>14</v>
      </c>
      <c r="B53" s="29" t="s">
        <v>25</v>
      </c>
      <c r="C53" s="29" t="s">
        <v>9</v>
      </c>
      <c r="D53" s="29">
        <v>10652700</v>
      </c>
    </row>
    <row r="54" spans="1:4" x14ac:dyDescent="0.35">
      <c r="A54" s="29" t="s">
        <v>14</v>
      </c>
      <c r="B54" s="29" t="s">
        <v>25</v>
      </c>
      <c r="C54" s="29" t="s">
        <v>10</v>
      </c>
      <c r="D54" s="29">
        <v>14876300</v>
      </c>
    </row>
    <row r="55" spans="1:4" x14ac:dyDescent="0.35">
      <c r="A55" s="29" t="s">
        <v>14</v>
      </c>
      <c r="B55" s="29" t="s">
        <v>25</v>
      </c>
      <c r="C55" s="29" t="s">
        <v>11</v>
      </c>
      <c r="D55" s="29">
        <v>16924300</v>
      </c>
    </row>
    <row r="56" spans="1:4" x14ac:dyDescent="0.35">
      <c r="A56" s="29" t="s">
        <v>14</v>
      </c>
      <c r="B56" s="29" t="s">
        <v>25</v>
      </c>
      <c r="C56" s="29" t="s">
        <v>12</v>
      </c>
      <c r="D56" s="29">
        <v>12216800</v>
      </c>
    </row>
    <row r="57" spans="1:4" x14ac:dyDescent="0.35">
      <c r="A57" s="29" t="s">
        <v>14</v>
      </c>
      <c r="B57" s="29" t="s">
        <v>25</v>
      </c>
      <c r="C57" s="29" t="s">
        <v>13</v>
      </c>
      <c r="D57" s="29">
        <v>28128500</v>
      </c>
    </row>
    <row r="58" spans="1:4" x14ac:dyDescent="0.35">
      <c r="A58" s="29" t="s">
        <v>14</v>
      </c>
      <c r="B58" s="29" t="s">
        <v>25</v>
      </c>
      <c r="C58" s="29" t="s">
        <v>15</v>
      </c>
      <c r="D58" s="29">
        <v>32817500</v>
      </c>
    </row>
    <row r="59" spans="1:4" x14ac:dyDescent="0.35">
      <c r="A59" s="29" t="s">
        <v>14</v>
      </c>
      <c r="B59" s="29" t="s">
        <v>25</v>
      </c>
      <c r="C59" s="29" t="s">
        <v>16</v>
      </c>
      <c r="D59" s="29">
        <v>17715300</v>
      </c>
    </row>
    <row r="60" spans="1:4" x14ac:dyDescent="0.35">
      <c r="A60" s="29" t="s">
        <v>14</v>
      </c>
      <c r="B60" s="29" t="s">
        <v>25</v>
      </c>
      <c r="C60" s="29" t="s">
        <v>17</v>
      </c>
      <c r="D60" s="29">
        <v>12483900</v>
      </c>
    </row>
    <row r="61" spans="1:4" x14ac:dyDescent="0.35">
      <c r="A61" s="29" t="s">
        <v>14</v>
      </c>
      <c r="B61" s="29" t="s">
        <v>25</v>
      </c>
      <c r="C61" s="29" t="s">
        <v>18</v>
      </c>
      <c r="D61" s="29">
        <v>22832300</v>
      </c>
    </row>
    <row r="62" spans="1:4" x14ac:dyDescent="0.35">
      <c r="A62" s="29" t="s">
        <v>14</v>
      </c>
      <c r="B62" s="29" t="s">
        <v>25</v>
      </c>
      <c r="C62" s="29" t="s">
        <v>19</v>
      </c>
      <c r="D62" s="29">
        <v>29612000</v>
      </c>
    </row>
    <row r="63" spans="1:4" x14ac:dyDescent="0.35">
      <c r="A63" s="29" t="s">
        <v>14</v>
      </c>
      <c r="B63" s="29" t="s">
        <v>25</v>
      </c>
      <c r="C63" s="29" t="s">
        <v>20</v>
      </c>
      <c r="D63" s="29">
        <v>22047600</v>
      </c>
    </row>
    <row r="64" spans="1:4" x14ac:dyDescent="0.35">
      <c r="A64" s="29" t="s">
        <v>14</v>
      </c>
      <c r="B64" s="29" t="s">
        <v>25</v>
      </c>
      <c r="C64" s="29" t="s">
        <v>21</v>
      </c>
      <c r="D64" s="29">
        <v>39720500</v>
      </c>
    </row>
    <row r="65" spans="1:4" x14ac:dyDescent="0.35">
      <c r="A65" s="29" t="s">
        <v>26</v>
      </c>
      <c r="B65" s="29" t="s">
        <v>27</v>
      </c>
      <c r="C65" s="29" t="s">
        <v>9</v>
      </c>
      <c r="D65" s="29">
        <v>16585000</v>
      </c>
    </row>
    <row r="66" spans="1:4" x14ac:dyDescent="0.35">
      <c r="A66" s="29" t="s">
        <v>26</v>
      </c>
      <c r="B66" s="29" t="s">
        <v>27</v>
      </c>
      <c r="C66" s="29" t="s">
        <v>10</v>
      </c>
      <c r="D66" s="29">
        <v>10652000</v>
      </c>
    </row>
    <row r="67" spans="1:4" x14ac:dyDescent="0.35">
      <c r="A67" s="29" t="s">
        <v>26</v>
      </c>
      <c r="B67" s="29" t="s">
        <v>27</v>
      </c>
      <c r="C67" s="29" t="s">
        <v>11</v>
      </c>
      <c r="D67" s="29">
        <v>27173300</v>
      </c>
    </row>
    <row r="68" spans="1:4" x14ac:dyDescent="0.35">
      <c r="A68" s="29" t="s">
        <v>26</v>
      </c>
      <c r="B68" s="29" t="s">
        <v>27</v>
      </c>
      <c r="C68" s="29" t="s">
        <v>12</v>
      </c>
      <c r="D68" s="29">
        <v>23433200</v>
      </c>
    </row>
    <row r="69" spans="1:4" x14ac:dyDescent="0.35">
      <c r="A69" s="29" t="s">
        <v>26</v>
      </c>
      <c r="B69" s="29" t="s">
        <v>27</v>
      </c>
      <c r="C69" s="29" t="s">
        <v>13</v>
      </c>
      <c r="D69" s="29">
        <v>20588600</v>
      </c>
    </row>
    <row r="70" spans="1:4" x14ac:dyDescent="0.35">
      <c r="A70" s="29" t="s">
        <v>26</v>
      </c>
      <c r="B70" s="29" t="s">
        <v>27</v>
      </c>
      <c r="C70" s="29" t="s">
        <v>15</v>
      </c>
      <c r="D70" s="29">
        <v>20654300</v>
      </c>
    </row>
    <row r="71" spans="1:4" x14ac:dyDescent="0.35">
      <c r="A71" s="29" t="s">
        <v>26</v>
      </c>
      <c r="B71" s="29" t="s">
        <v>27</v>
      </c>
      <c r="C71" s="29" t="s">
        <v>16</v>
      </c>
      <c r="D71" s="29">
        <v>24450900</v>
      </c>
    </row>
    <row r="72" spans="1:4" x14ac:dyDescent="0.35">
      <c r="A72" s="29" t="s">
        <v>26</v>
      </c>
      <c r="B72" s="29" t="s">
        <v>27</v>
      </c>
      <c r="C72" s="29" t="s">
        <v>17</v>
      </c>
      <c r="D72" s="29">
        <v>23680400</v>
      </c>
    </row>
    <row r="73" spans="1:4" x14ac:dyDescent="0.35">
      <c r="A73" s="29" t="s">
        <v>26</v>
      </c>
      <c r="B73" s="29" t="s">
        <v>27</v>
      </c>
      <c r="C73" s="29" t="s">
        <v>18</v>
      </c>
      <c r="D73" s="29">
        <v>21414500</v>
      </c>
    </row>
    <row r="74" spans="1:4" x14ac:dyDescent="0.35">
      <c r="A74" s="29" t="s">
        <v>26</v>
      </c>
      <c r="B74" s="29" t="s">
        <v>27</v>
      </c>
      <c r="C74" s="29" t="s">
        <v>19</v>
      </c>
      <c r="D74" s="29">
        <v>23822000</v>
      </c>
    </row>
    <row r="75" spans="1:4" x14ac:dyDescent="0.35">
      <c r="A75" s="29" t="s">
        <v>26</v>
      </c>
      <c r="B75" s="29" t="s">
        <v>27</v>
      </c>
      <c r="C75" s="29" t="s">
        <v>20</v>
      </c>
      <c r="D75" s="29">
        <v>27139500</v>
      </c>
    </row>
    <row r="76" spans="1:4" x14ac:dyDescent="0.35">
      <c r="A76" s="29" t="s">
        <v>26</v>
      </c>
      <c r="B76" s="29" t="s">
        <v>27</v>
      </c>
      <c r="C76" s="29" t="s">
        <v>21</v>
      </c>
      <c r="D76" s="29">
        <v>31076300</v>
      </c>
    </row>
    <row r="77" spans="1:4" x14ac:dyDescent="0.35">
      <c r="A77" s="29" t="s">
        <v>26</v>
      </c>
      <c r="B77" s="29" t="s">
        <v>28</v>
      </c>
      <c r="C77" s="29" t="s">
        <v>9</v>
      </c>
      <c r="D77" s="29">
        <v>12586400</v>
      </c>
    </row>
    <row r="78" spans="1:4" x14ac:dyDescent="0.35">
      <c r="A78" s="29" t="s">
        <v>26</v>
      </c>
      <c r="B78" s="29" t="s">
        <v>28</v>
      </c>
      <c r="C78" s="29" t="s">
        <v>10</v>
      </c>
      <c r="D78" s="29">
        <v>5374900</v>
      </c>
    </row>
    <row r="79" spans="1:4" x14ac:dyDescent="0.35">
      <c r="A79" s="29" t="s">
        <v>26</v>
      </c>
      <c r="B79" s="29" t="s">
        <v>28</v>
      </c>
      <c r="C79" s="29" t="s">
        <v>11</v>
      </c>
      <c r="D79" s="29">
        <v>20072900</v>
      </c>
    </row>
    <row r="80" spans="1:4" x14ac:dyDescent="0.35">
      <c r="A80" s="29" t="s">
        <v>26</v>
      </c>
      <c r="B80" s="29" t="s">
        <v>28</v>
      </c>
      <c r="C80" s="29" t="s">
        <v>12</v>
      </c>
      <c r="D80" s="29">
        <v>16653600</v>
      </c>
    </row>
    <row r="81" spans="1:4" x14ac:dyDescent="0.35">
      <c r="A81" s="29" t="s">
        <v>26</v>
      </c>
      <c r="B81" s="29" t="s">
        <v>28</v>
      </c>
      <c r="C81" s="29" t="s">
        <v>13</v>
      </c>
      <c r="D81" s="29">
        <v>21910300</v>
      </c>
    </row>
    <row r="82" spans="1:4" x14ac:dyDescent="0.35">
      <c r="A82" s="29" t="s">
        <v>26</v>
      </c>
      <c r="B82" s="29" t="s">
        <v>28</v>
      </c>
      <c r="C82" s="29" t="s">
        <v>15</v>
      </c>
      <c r="D82" s="29">
        <v>47148100</v>
      </c>
    </row>
    <row r="83" spans="1:4" x14ac:dyDescent="0.35">
      <c r="A83" s="29" t="s">
        <v>26</v>
      </c>
      <c r="B83" s="29" t="s">
        <v>28</v>
      </c>
      <c r="C83" s="29" t="s">
        <v>16</v>
      </c>
      <c r="D83" s="29">
        <v>28438800</v>
      </c>
    </row>
    <row r="84" spans="1:4" x14ac:dyDescent="0.35">
      <c r="A84" s="29" t="s">
        <v>26</v>
      </c>
      <c r="B84" s="29" t="s">
        <v>28</v>
      </c>
      <c r="C84" s="29" t="s">
        <v>17</v>
      </c>
      <c r="D84" s="29">
        <v>26606300</v>
      </c>
    </row>
    <row r="85" spans="1:4" x14ac:dyDescent="0.35">
      <c r="A85" s="29" t="s">
        <v>26</v>
      </c>
      <c r="B85" s="29" t="s">
        <v>28</v>
      </c>
      <c r="C85" s="29" t="s">
        <v>18</v>
      </c>
      <c r="D85" s="29">
        <v>25858000</v>
      </c>
    </row>
    <row r="86" spans="1:4" x14ac:dyDescent="0.35">
      <c r="A86" s="29" t="s">
        <v>26</v>
      </c>
      <c r="B86" s="29" t="s">
        <v>28</v>
      </c>
      <c r="C86" s="29" t="s">
        <v>19</v>
      </c>
      <c r="D86" s="29">
        <v>30854700</v>
      </c>
    </row>
    <row r="87" spans="1:4" x14ac:dyDescent="0.35">
      <c r="A87" s="29" t="s">
        <v>26</v>
      </c>
      <c r="B87" s="29" t="s">
        <v>28</v>
      </c>
      <c r="C87" s="29" t="s">
        <v>20</v>
      </c>
      <c r="D87" s="29">
        <v>55358900</v>
      </c>
    </row>
    <row r="88" spans="1:4" x14ac:dyDescent="0.35">
      <c r="A88" s="29" t="s">
        <v>26</v>
      </c>
      <c r="B88" s="29" t="s">
        <v>28</v>
      </c>
      <c r="C88" s="29" t="s">
        <v>21</v>
      </c>
      <c r="D88" s="29">
        <v>37658200</v>
      </c>
    </row>
    <row r="89" spans="1:4" x14ac:dyDescent="0.35">
      <c r="A89" s="29" t="s">
        <v>26</v>
      </c>
      <c r="B89" s="29" t="s">
        <v>29</v>
      </c>
      <c r="C89" s="29" t="s">
        <v>9</v>
      </c>
      <c r="D89" s="29">
        <v>18216300</v>
      </c>
    </row>
    <row r="90" spans="1:4" x14ac:dyDescent="0.35">
      <c r="A90" s="29" t="s">
        <v>26</v>
      </c>
      <c r="B90" s="29" t="s">
        <v>29</v>
      </c>
      <c r="C90" s="29" t="s">
        <v>10</v>
      </c>
      <c r="D90" s="29">
        <v>10312600</v>
      </c>
    </row>
    <row r="91" spans="1:4" x14ac:dyDescent="0.35">
      <c r="A91" s="29" t="s">
        <v>26</v>
      </c>
      <c r="B91" s="29" t="s">
        <v>29</v>
      </c>
      <c r="C91" s="29" t="s">
        <v>11</v>
      </c>
      <c r="D91" s="29">
        <v>17984000</v>
      </c>
    </row>
    <row r="92" spans="1:4" x14ac:dyDescent="0.35">
      <c r="A92" s="29" t="s">
        <v>26</v>
      </c>
      <c r="B92" s="29" t="s">
        <v>29</v>
      </c>
      <c r="C92" s="29" t="s">
        <v>12</v>
      </c>
      <c r="D92" s="29">
        <v>21173000</v>
      </c>
    </row>
    <row r="93" spans="1:4" x14ac:dyDescent="0.35">
      <c r="A93" s="29" t="s">
        <v>26</v>
      </c>
      <c r="B93" s="29" t="s">
        <v>29</v>
      </c>
      <c r="C93" s="29" t="s">
        <v>13</v>
      </c>
      <c r="D93" s="29">
        <v>16140100</v>
      </c>
    </row>
    <row r="94" spans="1:4" x14ac:dyDescent="0.35">
      <c r="A94" s="29" t="s">
        <v>26</v>
      </c>
      <c r="B94" s="29" t="s">
        <v>29</v>
      </c>
      <c r="C94" s="29" t="s">
        <v>15</v>
      </c>
      <c r="D94" s="29">
        <v>24434000</v>
      </c>
    </row>
    <row r="95" spans="1:4" x14ac:dyDescent="0.35">
      <c r="A95" s="29" t="s">
        <v>26</v>
      </c>
      <c r="B95" s="29" t="s">
        <v>29</v>
      </c>
      <c r="C95" s="29" t="s">
        <v>16</v>
      </c>
      <c r="D95" s="29">
        <v>26976600</v>
      </c>
    </row>
    <row r="96" spans="1:4" x14ac:dyDescent="0.35">
      <c r="A96" s="29" t="s">
        <v>26</v>
      </c>
      <c r="B96" s="29" t="s">
        <v>29</v>
      </c>
      <c r="C96" s="29" t="s">
        <v>17</v>
      </c>
      <c r="D96" s="29">
        <v>43657100</v>
      </c>
    </row>
    <row r="97" spans="1:4" x14ac:dyDescent="0.35">
      <c r="A97" s="29" t="s">
        <v>26</v>
      </c>
      <c r="B97" s="29" t="s">
        <v>29</v>
      </c>
      <c r="C97" s="29" t="s">
        <v>18</v>
      </c>
      <c r="D97" s="29">
        <v>39305300</v>
      </c>
    </row>
    <row r="98" spans="1:4" x14ac:dyDescent="0.35">
      <c r="A98" s="29" t="s">
        <v>26</v>
      </c>
      <c r="B98" s="29" t="s">
        <v>29</v>
      </c>
      <c r="C98" s="29" t="s">
        <v>19</v>
      </c>
      <c r="D98" s="29">
        <v>34620300</v>
      </c>
    </row>
    <row r="99" spans="1:4" x14ac:dyDescent="0.35">
      <c r="A99" s="29" t="s">
        <v>26</v>
      </c>
      <c r="B99" s="29" t="s">
        <v>29</v>
      </c>
      <c r="C99" s="29" t="s">
        <v>20</v>
      </c>
      <c r="D99" s="29">
        <v>23787800</v>
      </c>
    </row>
    <row r="100" spans="1:4" x14ac:dyDescent="0.35">
      <c r="A100" s="29" t="s">
        <v>26</v>
      </c>
      <c r="B100" s="29" t="s">
        <v>29</v>
      </c>
      <c r="C100" s="29" t="s">
        <v>21</v>
      </c>
      <c r="D100" s="29">
        <v>26832900</v>
      </c>
    </row>
    <row r="101" spans="1:4" x14ac:dyDescent="0.35">
      <c r="A101" s="29" t="s">
        <v>26</v>
      </c>
      <c r="B101" s="29" t="s">
        <v>30</v>
      </c>
      <c r="C101" s="29" t="s">
        <v>9</v>
      </c>
      <c r="D101" s="29">
        <v>10913000</v>
      </c>
    </row>
    <row r="102" spans="1:4" x14ac:dyDescent="0.35">
      <c r="A102" s="29" t="s">
        <v>26</v>
      </c>
      <c r="B102" s="29" t="s">
        <v>30</v>
      </c>
      <c r="C102" s="29" t="s">
        <v>10</v>
      </c>
      <c r="D102" s="29">
        <v>15842900</v>
      </c>
    </row>
    <row r="103" spans="1:4" x14ac:dyDescent="0.35">
      <c r="A103" s="29" t="s">
        <v>26</v>
      </c>
      <c r="B103" s="29" t="s">
        <v>30</v>
      </c>
      <c r="C103" s="29" t="s">
        <v>11</v>
      </c>
      <c r="D103" s="29">
        <v>13778200</v>
      </c>
    </row>
    <row r="104" spans="1:4" x14ac:dyDescent="0.35">
      <c r="A104" s="29" t="s">
        <v>26</v>
      </c>
      <c r="B104" s="29" t="s">
        <v>30</v>
      </c>
      <c r="C104" s="29" t="s">
        <v>12</v>
      </c>
      <c r="D104" s="29">
        <v>11047300</v>
      </c>
    </row>
    <row r="105" spans="1:4" x14ac:dyDescent="0.35">
      <c r="A105" s="29" t="s">
        <v>26</v>
      </c>
      <c r="B105" s="29" t="s">
        <v>30</v>
      </c>
      <c r="C105" s="29" t="s">
        <v>13</v>
      </c>
      <c r="D105" s="29">
        <v>15009900</v>
      </c>
    </row>
    <row r="106" spans="1:4" x14ac:dyDescent="0.35">
      <c r="A106" s="29" t="s">
        <v>26</v>
      </c>
      <c r="B106" s="29" t="s">
        <v>30</v>
      </c>
      <c r="C106" s="29" t="s">
        <v>15</v>
      </c>
      <c r="D106" s="29">
        <v>30930700</v>
      </c>
    </row>
    <row r="107" spans="1:4" x14ac:dyDescent="0.35">
      <c r="A107" s="29" t="s">
        <v>26</v>
      </c>
      <c r="B107" s="29" t="s">
        <v>30</v>
      </c>
      <c r="C107" s="29" t="s">
        <v>16</v>
      </c>
      <c r="D107" s="29">
        <v>33184700</v>
      </c>
    </row>
    <row r="108" spans="1:4" x14ac:dyDescent="0.35">
      <c r="A108" s="29" t="s">
        <v>26</v>
      </c>
      <c r="B108" s="29" t="s">
        <v>30</v>
      </c>
      <c r="C108" s="29" t="s">
        <v>17</v>
      </c>
      <c r="D108" s="29">
        <v>37092600</v>
      </c>
    </row>
    <row r="109" spans="1:4" x14ac:dyDescent="0.35">
      <c r="A109" s="29" t="s">
        <v>26</v>
      </c>
      <c r="B109" s="29" t="s">
        <v>30</v>
      </c>
      <c r="C109" s="29" t="s">
        <v>18</v>
      </c>
      <c r="D109" s="29">
        <v>30342400</v>
      </c>
    </row>
    <row r="110" spans="1:4" x14ac:dyDescent="0.35">
      <c r="A110" s="29" t="s">
        <v>26</v>
      </c>
      <c r="B110" s="29" t="s">
        <v>30</v>
      </c>
      <c r="C110" s="29" t="s">
        <v>19</v>
      </c>
      <c r="D110" s="29">
        <v>38148600</v>
      </c>
    </row>
    <row r="111" spans="1:4" x14ac:dyDescent="0.35">
      <c r="A111" s="29" t="s">
        <v>26</v>
      </c>
      <c r="B111" s="29" t="s">
        <v>30</v>
      </c>
      <c r="C111" s="29" t="s">
        <v>20</v>
      </c>
      <c r="D111" s="29">
        <v>31213500</v>
      </c>
    </row>
    <row r="112" spans="1:4" x14ac:dyDescent="0.35">
      <c r="A112" s="29" t="s">
        <v>26</v>
      </c>
      <c r="B112" s="29" t="s">
        <v>30</v>
      </c>
      <c r="C112" s="29" t="s">
        <v>21</v>
      </c>
      <c r="D112" s="29">
        <v>32770400</v>
      </c>
    </row>
    <row r="113" spans="1:4" x14ac:dyDescent="0.35">
      <c r="A113" s="29" t="s">
        <v>26</v>
      </c>
      <c r="B113" s="29" t="s">
        <v>31</v>
      </c>
      <c r="C113" s="29" t="s">
        <v>9</v>
      </c>
      <c r="D113" s="29">
        <v>11643500</v>
      </c>
    </row>
    <row r="114" spans="1:4" x14ac:dyDescent="0.35">
      <c r="A114" s="29" t="s">
        <v>26</v>
      </c>
      <c r="B114" s="29" t="s">
        <v>31</v>
      </c>
      <c r="C114" s="29" t="s">
        <v>10</v>
      </c>
      <c r="D114" s="29">
        <v>18731600</v>
      </c>
    </row>
    <row r="115" spans="1:4" x14ac:dyDescent="0.35">
      <c r="A115" s="29" t="s">
        <v>26</v>
      </c>
      <c r="B115" s="29" t="s">
        <v>31</v>
      </c>
      <c r="C115" s="29" t="s">
        <v>11</v>
      </c>
      <c r="D115" s="29">
        <v>35876400</v>
      </c>
    </row>
    <row r="116" spans="1:4" x14ac:dyDescent="0.35">
      <c r="A116" s="29" t="s">
        <v>26</v>
      </c>
      <c r="B116" s="29" t="s">
        <v>31</v>
      </c>
      <c r="C116" s="29" t="s">
        <v>12</v>
      </c>
      <c r="D116" s="29">
        <v>18859900</v>
      </c>
    </row>
    <row r="117" spans="1:4" x14ac:dyDescent="0.35">
      <c r="A117" s="29" t="s">
        <v>26</v>
      </c>
      <c r="B117" s="29" t="s">
        <v>31</v>
      </c>
      <c r="C117" s="29" t="s">
        <v>13</v>
      </c>
      <c r="D117" s="29">
        <v>19689000</v>
      </c>
    </row>
    <row r="118" spans="1:4" x14ac:dyDescent="0.35">
      <c r="A118" s="29" t="s">
        <v>26</v>
      </c>
      <c r="B118" s="29" t="s">
        <v>31</v>
      </c>
      <c r="C118" s="29" t="s">
        <v>15</v>
      </c>
      <c r="D118" s="29">
        <v>22593100</v>
      </c>
    </row>
    <row r="119" spans="1:4" x14ac:dyDescent="0.35">
      <c r="A119" s="29" t="s">
        <v>26</v>
      </c>
      <c r="B119" s="29" t="s">
        <v>31</v>
      </c>
      <c r="C119" s="29" t="s">
        <v>16</v>
      </c>
      <c r="D119" s="29">
        <v>19650600</v>
      </c>
    </row>
    <row r="120" spans="1:4" x14ac:dyDescent="0.35">
      <c r="A120" s="29" t="s">
        <v>26</v>
      </c>
      <c r="B120" s="29" t="s">
        <v>31</v>
      </c>
      <c r="C120" s="29" t="s">
        <v>17</v>
      </c>
      <c r="D120" s="29">
        <v>16891000</v>
      </c>
    </row>
    <row r="121" spans="1:4" x14ac:dyDescent="0.35">
      <c r="A121" s="29" t="s">
        <v>26</v>
      </c>
      <c r="B121" s="29" t="s">
        <v>31</v>
      </c>
      <c r="C121" s="29" t="s">
        <v>18</v>
      </c>
      <c r="D121" s="29">
        <v>41107400</v>
      </c>
    </row>
    <row r="122" spans="1:4" x14ac:dyDescent="0.35">
      <c r="A122" s="29" t="s">
        <v>26</v>
      </c>
      <c r="B122" s="29" t="s">
        <v>31</v>
      </c>
      <c r="C122" s="29" t="s">
        <v>19</v>
      </c>
      <c r="D122" s="29">
        <v>34802400</v>
      </c>
    </row>
    <row r="123" spans="1:4" x14ac:dyDescent="0.35">
      <c r="A123" s="29" t="s">
        <v>26</v>
      </c>
      <c r="B123" s="29" t="s">
        <v>31</v>
      </c>
      <c r="C123" s="29" t="s">
        <v>20</v>
      </c>
      <c r="D123" s="29">
        <v>21298500</v>
      </c>
    </row>
    <row r="124" spans="1:4" x14ac:dyDescent="0.35">
      <c r="A124" s="29" t="s">
        <v>26</v>
      </c>
      <c r="B124" s="29" t="s">
        <v>31</v>
      </c>
      <c r="C124" s="29" t="s">
        <v>21</v>
      </c>
      <c r="D124" s="29">
        <v>27197200</v>
      </c>
    </row>
    <row r="125" spans="1:4" x14ac:dyDescent="0.35">
      <c r="A125" s="29" t="s">
        <v>26</v>
      </c>
      <c r="B125" s="29" t="s">
        <v>32</v>
      </c>
      <c r="C125" s="29" t="s">
        <v>9</v>
      </c>
      <c r="D125" s="29">
        <v>14600600</v>
      </c>
    </row>
    <row r="126" spans="1:4" x14ac:dyDescent="0.35">
      <c r="A126" s="29" t="s">
        <v>26</v>
      </c>
      <c r="B126" s="29" t="s">
        <v>32</v>
      </c>
      <c r="C126" s="29" t="s">
        <v>10</v>
      </c>
      <c r="D126" s="29">
        <v>7528300</v>
      </c>
    </row>
    <row r="127" spans="1:4" x14ac:dyDescent="0.35">
      <c r="A127" s="29" t="s">
        <v>26</v>
      </c>
      <c r="B127" s="29" t="s">
        <v>32</v>
      </c>
      <c r="C127" s="29" t="s">
        <v>11</v>
      </c>
      <c r="D127" s="29">
        <v>12948400</v>
      </c>
    </row>
    <row r="128" spans="1:4" x14ac:dyDescent="0.35">
      <c r="A128" s="29" t="s">
        <v>26</v>
      </c>
      <c r="B128" s="29" t="s">
        <v>32</v>
      </c>
      <c r="C128" s="29" t="s">
        <v>12</v>
      </c>
      <c r="D128" s="29">
        <v>9481800</v>
      </c>
    </row>
    <row r="129" spans="1:4" x14ac:dyDescent="0.35">
      <c r="A129" s="29" t="s">
        <v>26</v>
      </c>
      <c r="B129" s="29" t="s">
        <v>32</v>
      </c>
      <c r="C129" s="29" t="s">
        <v>13</v>
      </c>
      <c r="D129" s="29">
        <v>15874000</v>
      </c>
    </row>
    <row r="130" spans="1:4" x14ac:dyDescent="0.35">
      <c r="A130" s="29" t="s">
        <v>26</v>
      </c>
      <c r="B130" s="29" t="s">
        <v>32</v>
      </c>
      <c r="C130" s="29" t="s">
        <v>15</v>
      </c>
      <c r="D130" s="29">
        <v>40662200</v>
      </c>
    </row>
    <row r="131" spans="1:4" x14ac:dyDescent="0.35">
      <c r="A131" s="29" t="s">
        <v>26</v>
      </c>
      <c r="B131" s="29" t="s">
        <v>32</v>
      </c>
      <c r="C131" s="29" t="s">
        <v>16</v>
      </c>
      <c r="D131" s="29">
        <v>43963800</v>
      </c>
    </row>
    <row r="132" spans="1:4" x14ac:dyDescent="0.35">
      <c r="A132" s="29" t="s">
        <v>26</v>
      </c>
      <c r="B132" s="29" t="s">
        <v>32</v>
      </c>
      <c r="C132" s="29" t="s">
        <v>17</v>
      </c>
      <c r="D132" s="29">
        <v>28679400</v>
      </c>
    </row>
    <row r="133" spans="1:4" x14ac:dyDescent="0.35">
      <c r="A133" s="29" t="s">
        <v>26</v>
      </c>
      <c r="B133" s="29" t="s">
        <v>32</v>
      </c>
      <c r="C133" s="29" t="s">
        <v>18</v>
      </c>
      <c r="D133" s="29">
        <v>25429800</v>
      </c>
    </row>
    <row r="134" spans="1:4" x14ac:dyDescent="0.35">
      <c r="A134" s="29" t="s">
        <v>26</v>
      </c>
      <c r="B134" s="29" t="s">
        <v>32</v>
      </c>
      <c r="C134" s="29" t="s">
        <v>19</v>
      </c>
      <c r="D134" s="29">
        <v>29421300</v>
      </c>
    </row>
    <row r="135" spans="1:4" x14ac:dyDescent="0.35">
      <c r="A135" s="29" t="s">
        <v>26</v>
      </c>
      <c r="B135" s="29" t="s">
        <v>32</v>
      </c>
      <c r="C135" s="29" t="s">
        <v>20</v>
      </c>
      <c r="D135" s="29">
        <v>16357400</v>
      </c>
    </row>
    <row r="136" spans="1:4" x14ac:dyDescent="0.35">
      <c r="A136" s="29" t="s">
        <v>26</v>
      </c>
      <c r="B136" s="29" t="s">
        <v>32</v>
      </c>
      <c r="C136" s="29" t="s">
        <v>21</v>
      </c>
      <c r="D136" s="29">
        <v>24002400</v>
      </c>
    </row>
    <row r="137" spans="1:4" x14ac:dyDescent="0.35">
      <c r="A137" s="29" t="s">
        <v>33</v>
      </c>
      <c r="B137" s="29" t="s">
        <v>34</v>
      </c>
      <c r="C137" s="29" t="s">
        <v>9</v>
      </c>
      <c r="D137" s="29">
        <v>14560000</v>
      </c>
    </row>
    <row r="138" spans="1:4" x14ac:dyDescent="0.35">
      <c r="A138" s="29" t="s">
        <v>33</v>
      </c>
      <c r="B138" s="29" t="s">
        <v>34</v>
      </c>
      <c r="C138" s="29" t="s">
        <v>10</v>
      </c>
      <c r="D138" s="29">
        <v>3020500</v>
      </c>
    </row>
    <row r="139" spans="1:4" x14ac:dyDescent="0.35">
      <c r="A139" s="29" t="s">
        <v>33</v>
      </c>
      <c r="B139" s="29" t="s">
        <v>34</v>
      </c>
      <c r="C139" s="29" t="s">
        <v>11</v>
      </c>
      <c r="D139" s="29">
        <v>9741500</v>
      </c>
    </row>
    <row r="140" spans="1:4" x14ac:dyDescent="0.35">
      <c r="A140" s="29" t="s">
        <v>33</v>
      </c>
      <c r="B140" s="29" t="s">
        <v>34</v>
      </c>
      <c r="C140" s="29" t="s">
        <v>12</v>
      </c>
      <c r="D140" s="29">
        <v>15577100</v>
      </c>
    </row>
    <row r="141" spans="1:4" x14ac:dyDescent="0.35">
      <c r="A141" s="29" t="s">
        <v>33</v>
      </c>
      <c r="B141" s="29" t="s">
        <v>34</v>
      </c>
      <c r="C141" s="29" t="s">
        <v>13</v>
      </c>
      <c r="D141" s="29">
        <v>14525700</v>
      </c>
    </row>
    <row r="142" spans="1:4" x14ac:dyDescent="0.35">
      <c r="A142" s="29" t="s">
        <v>33</v>
      </c>
      <c r="B142" s="29" t="s">
        <v>34</v>
      </c>
      <c r="C142" s="29" t="s">
        <v>15</v>
      </c>
      <c r="D142" s="29">
        <v>38119200</v>
      </c>
    </row>
    <row r="143" spans="1:4" x14ac:dyDescent="0.35">
      <c r="A143" s="29" t="s">
        <v>33</v>
      </c>
      <c r="B143" s="29" t="s">
        <v>34</v>
      </c>
      <c r="C143" s="29" t="s">
        <v>16</v>
      </c>
      <c r="D143" s="29">
        <v>10191500</v>
      </c>
    </row>
    <row r="144" spans="1:4" x14ac:dyDescent="0.35">
      <c r="A144" s="29" t="s">
        <v>33</v>
      </c>
      <c r="B144" s="29" t="s">
        <v>34</v>
      </c>
      <c r="C144" s="29" t="s">
        <v>17</v>
      </c>
      <c r="D144" s="29">
        <v>27131600</v>
      </c>
    </row>
    <row r="145" spans="1:4" x14ac:dyDescent="0.35">
      <c r="A145" s="29" t="s">
        <v>33</v>
      </c>
      <c r="B145" s="29" t="s">
        <v>34</v>
      </c>
      <c r="C145" s="29" t="s">
        <v>18</v>
      </c>
      <c r="D145" s="29">
        <v>23788500</v>
      </c>
    </row>
    <row r="146" spans="1:4" x14ac:dyDescent="0.35">
      <c r="A146" s="29" t="s">
        <v>33</v>
      </c>
      <c r="B146" s="29" t="s">
        <v>34</v>
      </c>
      <c r="C146" s="29" t="s">
        <v>19</v>
      </c>
      <c r="D146" s="29">
        <v>14160000</v>
      </c>
    </row>
    <row r="147" spans="1:4" x14ac:dyDescent="0.35">
      <c r="A147" s="29" t="s">
        <v>33</v>
      </c>
      <c r="B147" s="29" t="s">
        <v>34</v>
      </c>
      <c r="C147" s="29" t="s">
        <v>20</v>
      </c>
      <c r="D147" s="29">
        <v>21021600</v>
      </c>
    </row>
    <row r="148" spans="1:4" x14ac:dyDescent="0.35">
      <c r="A148" s="29" t="s">
        <v>33</v>
      </c>
      <c r="B148" s="29" t="s">
        <v>34</v>
      </c>
      <c r="C148" s="29" t="s">
        <v>21</v>
      </c>
      <c r="D148" s="29">
        <v>25773800</v>
      </c>
    </row>
    <row r="149" spans="1:4" x14ac:dyDescent="0.35">
      <c r="A149" s="29" t="s">
        <v>33</v>
      </c>
      <c r="B149" s="29" t="s">
        <v>35</v>
      </c>
      <c r="C149" s="29" t="s">
        <v>9</v>
      </c>
      <c r="D149" s="29">
        <v>12225300</v>
      </c>
    </row>
    <row r="150" spans="1:4" x14ac:dyDescent="0.35">
      <c r="A150" s="29" t="s">
        <v>33</v>
      </c>
      <c r="B150" s="29" t="s">
        <v>35</v>
      </c>
      <c r="C150" s="29" t="s">
        <v>10</v>
      </c>
      <c r="D150" s="29">
        <v>14288500</v>
      </c>
    </row>
    <row r="151" spans="1:4" x14ac:dyDescent="0.35">
      <c r="A151" s="29" t="s">
        <v>33</v>
      </c>
      <c r="B151" s="29" t="s">
        <v>35</v>
      </c>
      <c r="C151" s="29" t="s">
        <v>11</v>
      </c>
      <c r="D151" s="29">
        <v>22658100</v>
      </c>
    </row>
    <row r="152" spans="1:4" x14ac:dyDescent="0.35">
      <c r="A152" s="29" t="s">
        <v>33</v>
      </c>
      <c r="B152" s="29" t="s">
        <v>35</v>
      </c>
      <c r="C152" s="29" t="s">
        <v>12</v>
      </c>
      <c r="D152" s="29">
        <v>6531600</v>
      </c>
    </row>
    <row r="153" spans="1:4" x14ac:dyDescent="0.35">
      <c r="A153" s="29" t="s">
        <v>33</v>
      </c>
      <c r="B153" s="29" t="s">
        <v>35</v>
      </c>
      <c r="C153" s="29" t="s">
        <v>13</v>
      </c>
      <c r="D153" s="29">
        <v>22744200</v>
      </c>
    </row>
    <row r="154" spans="1:4" x14ac:dyDescent="0.35">
      <c r="A154" s="29" t="s">
        <v>33</v>
      </c>
      <c r="B154" s="29" t="s">
        <v>35</v>
      </c>
      <c r="C154" s="29" t="s">
        <v>15</v>
      </c>
      <c r="D154" s="29">
        <v>18087800</v>
      </c>
    </row>
    <row r="155" spans="1:4" x14ac:dyDescent="0.35">
      <c r="A155" s="29" t="s">
        <v>33</v>
      </c>
      <c r="B155" s="29" t="s">
        <v>35</v>
      </c>
      <c r="C155" s="29" t="s">
        <v>16</v>
      </c>
      <c r="D155" s="29">
        <v>15882200</v>
      </c>
    </row>
    <row r="156" spans="1:4" x14ac:dyDescent="0.35">
      <c r="A156" s="29" t="s">
        <v>33</v>
      </c>
      <c r="B156" s="29" t="s">
        <v>35</v>
      </c>
      <c r="C156" s="29" t="s">
        <v>17</v>
      </c>
      <c r="D156" s="29">
        <v>33808800</v>
      </c>
    </row>
    <row r="157" spans="1:4" x14ac:dyDescent="0.35">
      <c r="A157" s="29" t="s">
        <v>33</v>
      </c>
      <c r="B157" s="29" t="s">
        <v>35</v>
      </c>
      <c r="C157" s="29" t="s">
        <v>18</v>
      </c>
      <c r="D157" s="29">
        <v>15562500</v>
      </c>
    </row>
    <row r="158" spans="1:4" x14ac:dyDescent="0.35">
      <c r="A158" s="29" t="s">
        <v>33</v>
      </c>
      <c r="B158" s="29" t="s">
        <v>35</v>
      </c>
      <c r="C158" s="29" t="s">
        <v>19</v>
      </c>
      <c r="D158" s="29">
        <v>32186600</v>
      </c>
    </row>
    <row r="159" spans="1:4" x14ac:dyDescent="0.35">
      <c r="A159" s="29" t="s">
        <v>33</v>
      </c>
      <c r="B159" s="29" t="s">
        <v>35</v>
      </c>
      <c r="C159" s="29" t="s">
        <v>20</v>
      </c>
      <c r="D159" s="29">
        <v>21887800</v>
      </c>
    </row>
    <row r="160" spans="1:4" x14ac:dyDescent="0.35">
      <c r="A160" s="29" t="s">
        <v>33</v>
      </c>
      <c r="B160" s="29" t="s">
        <v>35</v>
      </c>
      <c r="C160" s="29" t="s">
        <v>21</v>
      </c>
      <c r="D160" s="29">
        <v>28124700</v>
      </c>
    </row>
    <row r="161" spans="1:4" x14ac:dyDescent="0.35">
      <c r="A161" s="29" t="s">
        <v>33</v>
      </c>
      <c r="B161" s="29" t="s">
        <v>64</v>
      </c>
      <c r="C161" s="29" t="s">
        <v>9</v>
      </c>
      <c r="D161" s="29">
        <v>18857200</v>
      </c>
    </row>
    <row r="162" spans="1:4" x14ac:dyDescent="0.35">
      <c r="A162" s="29" t="s">
        <v>33</v>
      </c>
      <c r="B162" s="29" t="s">
        <v>64</v>
      </c>
      <c r="C162" s="29" t="s">
        <v>10</v>
      </c>
      <c r="D162" s="29">
        <v>6531800</v>
      </c>
    </row>
    <row r="163" spans="1:4" x14ac:dyDescent="0.35">
      <c r="A163" s="29" t="s">
        <v>33</v>
      </c>
      <c r="B163" s="29" t="s">
        <v>64</v>
      </c>
      <c r="C163" s="29" t="s">
        <v>11</v>
      </c>
      <c r="D163" s="29">
        <v>10999600</v>
      </c>
    </row>
    <row r="164" spans="1:4" x14ac:dyDescent="0.35">
      <c r="A164" s="29" t="s">
        <v>33</v>
      </c>
      <c r="B164" s="29" t="s">
        <v>64</v>
      </c>
      <c r="C164" s="29" t="s">
        <v>12</v>
      </c>
      <c r="D164" s="29">
        <v>7542500</v>
      </c>
    </row>
    <row r="165" spans="1:4" x14ac:dyDescent="0.35">
      <c r="A165" s="29" t="s">
        <v>33</v>
      </c>
      <c r="B165" s="29" t="s">
        <v>64</v>
      </c>
      <c r="C165" s="29" t="s">
        <v>13</v>
      </c>
      <c r="D165" s="29">
        <v>20492100</v>
      </c>
    </row>
    <row r="166" spans="1:4" x14ac:dyDescent="0.35">
      <c r="A166" s="29" t="s">
        <v>33</v>
      </c>
      <c r="B166" s="29" t="s">
        <v>64</v>
      </c>
      <c r="C166" s="29" t="s">
        <v>15</v>
      </c>
      <c r="D166" s="29">
        <v>24999400</v>
      </c>
    </row>
    <row r="167" spans="1:4" x14ac:dyDescent="0.35">
      <c r="A167" s="29" t="s">
        <v>33</v>
      </c>
      <c r="B167" s="29" t="s">
        <v>64</v>
      </c>
      <c r="C167" s="29" t="s">
        <v>16</v>
      </c>
      <c r="D167" s="29">
        <v>10386600</v>
      </c>
    </row>
    <row r="168" spans="1:4" x14ac:dyDescent="0.35">
      <c r="A168" s="29" t="s">
        <v>33</v>
      </c>
      <c r="B168" s="29" t="s">
        <v>64</v>
      </c>
      <c r="C168" s="29" t="s">
        <v>17</v>
      </c>
      <c r="D168" s="29">
        <v>28768700</v>
      </c>
    </row>
    <row r="169" spans="1:4" x14ac:dyDescent="0.35">
      <c r="A169" s="29" t="s">
        <v>33</v>
      </c>
      <c r="B169" s="29" t="s">
        <v>64</v>
      </c>
      <c r="C169" s="29" t="s">
        <v>18</v>
      </c>
      <c r="D169" s="29">
        <v>22250600</v>
      </c>
    </row>
    <row r="170" spans="1:4" x14ac:dyDescent="0.35">
      <c r="A170" s="29" t="s">
        <v>33</v>
      </c>
      <c r="B170" s="29" t="s">
        <v>64</v>
      </c>
      <c r="C170" s="29" t="s">
        <v>19</v>
      </c>
      <c r="D170" s="29">
        <v>27452200</v>
      </c>
    </row>
    <row r="171" spans="1:4" x14ac:dyDescent="0.35">
      <c r="A171" s="29" t="s">
        <v>33</v>
      </c>
      <c r="B171" s="29" t="s">
        <v>64</v>
      </c>
      <c r="C171" s="29" t="s">
        <v>20</v>
      </c>
      <c r="D171" s="29">
        <v>24963100</v>
      </c>
    </row>
    <row r="172" spans="1:4" x14ac:dyDescent="0.35">
      <c r="A172" s="29" t="s">
        <v>33</v>
      </c>
      <c r="B172" s="29" t="s">
        <v>64</v>
      </c>
      <c r="C172" s="29" t="s">
        <v>21</v>
      </c>
      <c r="D172" s="29">
        <v>17441800</v>
      </c>
    </row>
    <row r="173" spans="1:4" x14ac:dyDescent="0.35">
      <c r="A173" s="29" t="s">
        <v>36</v>
      </c>
      <c r="B173" s="29" t="s">
        <v>37</v>
      </c>
      <c r="C173" s="29" t="s">
        <v>9</v>
      </c>
      <c r="D173" s="29">
        <v>9992400</v>
      </c>
    </row>
    <row r="174" spans="1:4" x14ac:dyDescent="0.35">
      <c r="A174" s="29" t="s">
        <v>36</v>
      </c>
      <c r="B174" s="29" t="s">
        <v>37</v>
      </c>
      <c r="C174" s="29" t="s">
        <v>10</v>
      </c>
      <c r="D174" s="29">
        <v>11265300</v>
      </c>
    </row>
    <row r="175" spans="1:4" x14ac:dyDescent="0.35">
      <c r="A175" s="29" t="s">
        <v>36</v>
      </c>
      <c r="B175" s="29" t="s">
        <v>37</v>
      </c>
      <c r="C175" s="29" t="s">
        <v>11</v>
      </c>
      <c r="D175" s="29">
        <v>21245500</v>
      </c>
    </row>
    <row r="176" spans="1:4" x14ac:dyDescent="0.35">
      <c r="A176" s="29" t="s">
        <v>36</v>
      </c>
      <c r="B176" s="29" t="s">
        <v>37</v>
      </c>
      <c r="C176" s="29" t="s">
        <v>12</v>
      </c>
      <c r="D176" s="29">
        <v>24112700</v>
      </c>
    </row>
    <row r="177" spans="1:4" x14ac:dyDescent="0.35">
      <c r="A177" s="29" t="s">
        <v>36</v>
      </c>
      <c r="B177" s="29" t="s">
        <v>37</v>
      </c>
      <c r="C177" s="29" t="s">
        <v>13</v>
      </c>
      <c r="D177" s="29">
        <v>18638400</v>
      </c>
    </row>
    <row r="178" spans="1:4" x14ac:dyDescent="0.35">
      <c r="A178" s="29" t="s">
        <v>36</v>
      </c>
      <c r="B178" s="29" t="s">
        <v>37</v>
      </c>
      <c r="C178" s="29" t="s">
        <v>15</v>
      </c>
      <c r="D178" s="29">
        <v>29552900</v>
      </c>
    </row>
    <row r="179" spans="1:4" x14ac:dyDescent="0.35">
      <c r="A179" s="29" t="s">
        <v>36</v>
      </c>
      <c r="B179" s="29" t="s">
        <v>37</v>
      </c>
      <c r="C179" s="29" t="s">
        <v>16</v>
      </c>
      <c r="D179" s="29">
        <v>20052100</v>
      </c>
    </row>
    <row r="180" spans="1:4" x14ac:dyDescent="0.35">
      <c r="A180" s="29" t="s">
        <v>36</v>
      </c>
      <c r="B180" s="29" t="s">
        <v>37</v>
      </c>
      <c r="C180" s="29" t="s">
        <v>17</v>
      </c>
      <c r="D180" s="29">
        <v>20829300</v>
      </c>
    </row>
    <row r="181" spans="1:4" x14ac:dyDescent="0.35">
      <c r="A181" s="29" t="s">
        <v>36</v>
      </c>
      <c r="B181" s="29" t="s">
        <v>37</v>
      </c>
      <c r="C181" s="29" t="s">
        <v>18</v>
      </c>
      <c r="D181" s="29">
        <v>33310700</v>
      </c>
    </row>
    <row r="182" spans="1:4" x14ac:dyDescent="0.35">
      <c r="A182" s="29" t="s">
        <v>36</v>
      </c>
      <c r="B182" s="29" t="s">
        <v>37</v>
      </c>
      <c r="C182" s="29" t="s">
        <v>19</v>
      </c>
      <c r="D182" s="29">
        <v>33147700</v>
      </c>
    </row>
    <row r="183" spans="1:4" x14ac:dyDescent="0.35">
      <c r="A183" s="29" t="s">
        <v>36</v>
      </c>
      <c r="B183" s="29" t="s">
        <v>37</v>
      </c>
      <c r="C183" s="29" t="s">
        <v>20</v>
      </c>
      <c r="D183" s="29">
        <v>39468600</v>
      </c>
    </row>
    <row r="184" spans="1:4" x14ac:dyDescent="0.35">
      <c r="A184" s="29" t="s">
        <v>36</v>
      </c>
      <c r="B184" s="29" t="s">
        <v>37</v>
      </c>
      <c r="C184" s="29" t="s">
        <v>21</v>
      </c>
      <c r="D184" s="29">
        <v>42369400</v>
      </c>
    </row>
    <row r="185" spans="1:4" x14ac:dyDescent="0.35">
      <c r="A185" s="29" t="s">
        <v>36</v>
      </c>
      <c r="B185" s="29" t="s">
        <v>38</v>
      </c>
      <c r="C185" s="29" t="s">
        <v>9</v>
      </c>
      <c r="D185" s="29">
        <v>16772800</v>
      </c>
    </row>
    <row r="186" spans="1:4" x14ac:dyDescent="0.35">
      <c r="A186" s="29" t="s">
        <v>36</v>
      </c>
      <c r="B186" s="29" t="s">
        <v>38</v>
      </c>
      <c r="C186" s="29" t="s">
        <v>10</v>
      </c>
      <c r="D186" s="29">
        <v>21951100</v>
      </c>
    </row>
    <row r="187" spans="1:4" x14ac:dyDescent="0.35">
      <c r="A187" s="29" t="s">
        <v>36</v>
      </c>
      <c r="B187" s="29" t="s">
        <v>38</v>
      </c>
      <c r="C187" s="29" t="s">
        <v>11</v>
      </c>
      <c r="D187" s="29">
        <v>15475100</v>
      </c>
    </row>
    <row r="188" spans="1:4" x14ac:dyDescent="0.35">
      <c r="A188" s="29" t="s">
        <v>36</v>
      </c>
      <c r="B188" s="29" t="s">
        <v>38</v>
      </c>
      <c r="C188" s="29" t="s">
        <v>12</v>
      </c>
      <c r="D188" s="29">
        <v>15961100</v>
      </c>
    </row>
    <row r="189" spans="1:4" x14ac:dyDescent="0.35">
      <c r="A189" s="29" t="s">
        <v>36</v>
      </c>
      <c r="B189" s="29" t="s">
        <v>38</v>
      </c>
      <c r="C189" s="29" t="s">
        <v>13</v>
      </c>
      <c r="D189" s="29">
        <v>24568800</v>
      </c>
    </row>
    <row r="190" spans="1:4" x14ac:dyDescent="0.35">
      <c r="A190" s="29" t="s">
        <v>36</v>
      </c>
      <c r="B190" s="29" t="s">
        <v>38</v>
      </c>
      <c r="C190" s="29" t="s">
        <v>15</v>
      </c>
      <c r="D190" s="29">
        <v>22603900</v>
      </c>
    </row>
    <row r="191" spans="1:4" x14ac:dyDescent="0.35">
      <c r="A191" s="29" t="s">
        <v>36</v>
      </c>
      <c r="B191" s="29" t="s">
        <v>38</v>
      </c>
      <c r="C191" s="29" t="s">
        <v>16</v>
      </c>
      <c r="D191" s="29">
        <v>16669900</v>
      </c>
    </row>
    <row r="192" spans="1:4" x14ac:dyDescent="0.35">
      <c r="A192" s="29" t="s">
        <v>36</v>
      </c>
      <c r="B192" s="29" t="s">
        <v>38</v>
      </c>
      <c r="C192" s="29" t="s">
        <v>17</v>
      </c>
      <c r="D192" s="29">
        <v>29640500</v>
      </c>
    </row>
    <row r="193" spans="1:4" x14ac:dyDescent="0.35">
      <c r="A193" s="29" t="s">
        <v>36</v>
      </c>
      <c r="B193" s="29" t="s">
        <v>38</v>
      </c>
      <c r="C193" s="29" t="s">
        <v>18</v>
      </c>
      <c r="D193" s="29">
        <v>23714900</v>
      </c>
    </row>
    <row r="194" spans="1:4" x14ac:dyDescent="0.35">
      <c r="A194" s="29" t="s">
        <v>36</v>
      </c>
      <c r="B194" s="29" t="s">
        <v>38</v>
      </c>
      <c r="C194" s="29" t="s">
        <v>19</v>
      </c>
      <c r="D194" s="29">
        <v>27260700</v>
      </c>
    </row>
    <row r="195" spans="1:4" x14ac:dyDescent="0.35">
      <c r="A195" s="29" t="s">
        <v>36</v>
      </c>
      <c r="B195" s="29" t="s">
        <v>38</v>
      </c>
      <c r="C195" s="29" t="s">
        <v>20</v>
      </c>
      <c r="D195" s="29">
        <v>35228900</v>
      </c>
    </row>
    <row r="196" spans="1:4" x14ac:dyDescent="0.35">
      <c r="A196" s="29" t="s">
        <v>36</v>
      </c>
      <c r="B196" s="29" t="s">
        <v>38</v>
      </c>
      <c r="C196" s="29" t="s">
        <v>21</v>
      </c>
      <c r="D196" s="29">
        <v>33926400</v>
      </c>
    </row>
    <row r="197" spans="1:4" x14ac:dyDescent="0.35">
      <c r="A197" s="29" t="s">
        <v>36</v>
      </c>
      <c r="B197" s="29" t="s">
        <v>39</v>
      </c>
      <c r="C197" s="29" t="s">
        <v>9</v>
      </c>
      <c r="D197" s="29">
        <v>14641900</v>
      </c>
    </row>
    <row r="198" spans="1:4" x14ac:dyDescent="0.35">
      <c r="A198" s="29" t="s">
        <v>36</v>
      </c>
      <c r="B198" s="29" t="s">
        <v>39</v>
      </c>
      <c r="C198" s="29" t="s">
        <v>10</v>
      </c>
      <c r="D198" s="29">
        <v>11783600</v>
      </c>
    </row>
    <row r="199" spans="1:4" x14ac:dyDescent="0.35">
      <c r="A199" s="29" t="s">
        <v>36</v>
      </c>
      <c r="B199" s="29" t="s">
        <v>39</v>
      </c>
      <c r="C199" s="29" t="s">
        <v>11</v>
      </c>
      <c r="D199" s="29">
        <v>19152700</v>
      </c>
    </row>
    <row r="200" spans="1:4" x14ac:dyDescent="0.35">
      <c r="A200" s="29" t="s">
        <v>36</v>
      </c>
      <c r="B200" s="29" t="s">
        <v>39</v>
      </c>
      <c r="C200" s="29" t="s">
        <v>12</v>
      </c>
      <c r="D200" s="29">
        <v>17608000</v>
      </c>
    </row>
    <row r="201" spans="1:4" x14ac:dyDescent="0.35">
      <c r="A201" s="29" t="s">
        <v>36</v>
      </c>
      <c r="B201" s="29" t="s">
        <v>39</v>
      </c>
      <c r="C201" s="29" t="s">
        <v>13</v>
      </c>
      <c r="D201" s="29">
        <v>21182300</v>
      </c>
    </row>
    <row r="202" spans="1:4" x14ac:dyDescent="0.35">
      <c r="A202" s="29" t="s">
        <v>36</v>
      </c>
      <c r="B202" s="29" t="s">
        <v>39</v>
      </c>
      <c r="C202" s="29" t="s">
        <v>15</v>
      </c>
      <c r="D202" s="29">
        <v>47659800</v>
      </c>
    </row>
    <row r="203" spans="1:4" x14ac:dyDescent="0.35">
      <c r="A203" s="29" t="s">
        <v>36</v>
      </c>
      <c r="B203" s="29" t="s">
        <v>39</v>
      </c>
      <c r="C203" s="29" t="s">
        <v>16</v>
      </c>
      <c r="D203" s="29">
        <v>17788200</v>
      </c>
    </row>
    <row r="204" spans="1:4" x14ac:dyDescent="0.35">
      <c r="A204" s="29" t="s">
        <v>36</v>
      </c>
      <c r="B204" s="29" t="s">
        <v>39</v>
      </c>
      <c r="C204" s="29" t="s">
        <v>17</v>
      </c>
      <c r="D204" s="29">
        <v>37745800</v>
      </c>
    </row>
    <row r="205" spans="1:4" x14ac:dyDescent="0.35">
      <c r="A205" s="29" t="s">
        <v>36</v>
      </c>
      <c r="B205" s="29" t="s">
        <v>39</v>
      </c>
      <c r="C205" s="29" t="s">
        <v>18</v>
      </c>
      <c r="D205" s="29">
        <v>38102000</v>
      </c>
    </row>
    <row r="206" spans="1:4" x14ac:dyDescent="0.35">
      <c r="A206" s="29" t="s">
        <v>36</v>
      </c>
      <c r="B206" s="29" t="s">
        <v>39</v>
      </c>
      <c r="C206" s="29" t="s">
        <v>19</v>
      </c>
      <c r="D206" s="29">
        <v>27698100</v>
      </c>
    </row>
    <row r="207" spans="1:4" x14ac:dyDescent="0.35">
      <c r="A207" s="29" t="s">
        <v>36</v>
      </c>
      <c r="B207" s="29" t="s">
        <v>39</v>
      </c>
      <c r="C207" s="29" t="s">
        <v>20</v>
      </c>
      <c r="D207" s="29">
        <v>39888200</v>
      </c>
    </row>
    <row r="208" spans="1:4" x14ac:dyDescent="0.35">
      <c r="A208" s="29" t="s">
        <v>36</v>
      </c>
      <c r="B208" s="29" t="s">
        <v>39</v>
      </c>
      <c r="C208" s="29" t="s">
        <v>21</v>
      </c>
      <c r="D208" s="29">
        <v>16432000</v>
      </c>
    </row>
    <row r="209" spans="1:4" x14ac:dyDescent="0.35">
      <c r="A209" s="29" t="s">
        <v>36</v>
      </c>
      <c r="B209" s="29" t="s">
        <v>40</v>
      </c>
      <c r="C209" s="29" t="s">
        <v>9</v>
      </c>
      <c r="D209" s="29">
        <v>13257000</v>
      </c>
    </row>
    <row r="210" spans="1:4" x14ac:dyDescent="0.35">
      <c r="A210" s="29" t="s">
        <v>36</v>
      </c>
      <c r="B210" s="29" t="s">
        <v>40</v>
      </c>
      <c r="C210" s="29" t="s">
        <v>10</v>
      </c>
      <c r="D210" s="29">
        <v>9890300</v>
      </c>
    </row>
    <row r="211" spans="1:4" x14ac:dyDescent="0.35">
      <c r="A211" s="29" t="s">
        <v>36</v>
      </c>
      <c r="B211" s="29" t="s">
        <v>40</v>
      </c>
      <c r="C211" s="29" t="s">
        <v>11</v>
      </c>
      <c r="D211" s="29">
        <v>20402900</v>
      </c>
    </row>
    <row r="212" spans="1:4" x14ac:dyDescent="0.35">
      <c r="A212" s="29" t="s">
        <v>36</v>
      </c>
      <c r="B212" s="29" t="s">
        <v>40</v>
      </c>
      <c r="C212" s="29" t="s">
        <v>12</v>
      </c>
      <c r="D212" s="29">
        <v>16249400</v>
      </c>
    </row>
    <row r="213" spans="1:4" x14ac:dyDescent="0.35">
      <c r="A213" s="29" t="s">
        <v>36</v>
      </c>
      <c r="B213" s="29" t="s">
        <v>40</v>
      </c>
      <c r="C213" s="29" t="s">
        <v>13</v>
      </c>
      <c r="D213" s="29">
        <v>33706200</v>
      </c>
    </row>
    <row r="214" spans="1:4" x14ac:dyDescent="0.35">
      <c r="A214" s="29" t="s">
        <v>36</v>
      </c>
      <c r="B214" s="29" t="s">
        <v>40</v>
      </c>
      <c r="C214" s="29" t="s">
        <v>15</v>
      </c>
      <c r="D214" s="29">
        <v>15017000</v>
      </c>
    </row>
    <row r="215" spans="1:4" x14ac:dyDescent="0.35">
      <c r="A215" s="29" t="s">
        <v>36</v>
      </c>
      <c r="B215" s="29" t="s">
        <v>40</v>
      </c>
      <c r="C215" s="29" t="s">
        <v>16</v>
      </c>
      <c r="D215" s="29">
        <v>23257200</v>
      </c>
    </row>
    <row r="216" spans="1:4" x14ac:dyDescent="0.35">
      <c r="A216" s="29" t="s">
        <v>36</v>
      </c>
      <c r="B216" s="29" t="s">
        <v>40</v>
      </c>
      <c r="C216" s="29" t="s">
        <v>17</v>
      </c>
      <c r="D216" s="29">
        <v>23953900</v>
      </c>
    </row>
    <row r="217" spans="1:4" x14ac:dyDescent="0.35">
      <c r="A217" s="29" t="s">
        <v>36</v>
      </c>
      <c r="B217" s="29" t="s">
        <v>40</v>
      </c>
      <c r="C217" s="29" t="s">
        <v>18</v>
      </c>
      <c r="D217" s="29">
        <v>30139900</v>
      </c>
    </row>
    <row r="218" spans="1:4" x14ac:dyDescent="0.35">
      <c r="A218" s="29" t="s">
        <v>36</v>
      </c>
      <c r="B218" s="29" t="s">
        <v>40</v>
      </c>
      <c r="C218" s="29" t="s">
        <v>19</v>
      </c>
      <c r="D218" s="29">
        <v>39367600</v>
      </c>
    </row>
    <row r="219" spans="1:4" x14ac:dyDescent="0.35">
      <c r="A219" s="29" t="s">
        <v>36</v>
      </c>
      <c r="B219" s="29" t="s">
        <v>40</v>
      </c>
      <c r="C219" s="29" t="s">
        <v>20</v>
      </c>
      <c r="D219" s="29">
        <v>34179600</v>
      </c>
    </row>
    <row r="220" spans="1:4" x14ac:dyDescent="0.35">
      <c r="A220" s="29" t="s">
        <v>36</v>
      </c>
      <c r="B220" s="29" t="s">
        <v>40</v>
      </c>
      <c r="C220" s="29" t="s">
        <v>21</v>
      </c>
      <c r="D220" s="29">
        <v>41013400</v>
      </c>
    </row>
    <row r="221" spans="1:4" x14ac:dyDescent="0.35">
      <c r="A221" s="29" t="s">
        <v>41</v>
      </c>
      <c r="B221" s="29" t="s">
        <v>42</v>
      </c>
      <c r="C221" s="29" t="s">
        <v>9</v>
      </c>
      <c r="D221" s="29">
        <v>10974700</v>
      </c>
    </row>
    <row r="222" spans="1:4" x14ac:dyDescent="0.35">
      <c r="A222" s="29" t="s">
        <v>41</v>
      </c>
      <c r="B222" s="29" t="s">
        <v>42</v>
      </c>
      <c r="C222" s="29" t="s">
        <v>10</v>
      </c>
      <c r="D222" s="29">
        <v>11225700</v>
      </c>
    </row>
    <row r="223" spans="1:4" x14ac:dyDescent="0.35">
      <c r="A223" s="29" t="s">
        <v>41</v>
      </c>
      <c r="B223" s="29" t="s">
        <v>42</v>
      </c>
      <c r="C223" s="29" t="s">
        <v>11</v>
      </c>
      <c r="D223" s="29">
        <v>17708000</v>
      </c>
    </row>
    <row r="224" spans="1:4" x14ac:dyDescent="0.35">
      <c r="A224" s="29" t="s">
        <v>41</v>
      </c>
      <c r="B224" s="29" t="s">
        <v>42</v>
      </c>
      <c r="C224" s="29" t="s">
        <v>12</v>
      </c>
      <c r="D224" s="29">
        <v>16770700</v>
      </c>
    </row>
    <row r="225" spans="1:4" x14ac:dyDescent="0.35">
      <c r="A225" s="29" t="s">
        <v>41</v>
      </c>
      <c r="B225" s="29" t="s">
        <v>42</v>
      </c>
      <c r="C225" s="29" t="s">
        <v>13</v>
      </c>
      <c r="D225" s="29">
        <v>22082400</v>
      </c>
    </row>
    <row r="226" spans="1:4" x14ac:dyDescent="0.35">
      <c r="A226" s="29" t="s">
        <v>41</v>
      </c>
      <c r="B226" s="29" t="s">
        <v>42</v>
      </c>
      <c r="C226" s="29" t="s">
        <v>15</v>
      </c>
      <c r="D226" s="29">
        <v>29000800</v>
      </c>
    </row>
    <row r="227" spans="1:4" x14ac:dyDescent="0.35">
      <c r="A227" s="29" t="s">
        <v>41</v>
      </c>
      <c r="B227" s="29" t="s">
        <v>42</v>
      </c>
      <c r="C227" s="29" t="s">
        <v>16</v>
      </c>
      <c r="D227" s="29">
        <v>25133900</v>
      </c>
    </row>
    <row r="228" spans="1:4" x14ac:dyDescent="0.35">
      <c r="A228" s="29" t="s">
        <v>41</v>
      </c>
      <c r="B228" s="29" t="s">
        <v>42</v>
      </c>
      <c r="C228" s="29" t="s">
        <v>17</v>
      </c>
      <c r="D228" s="29">
        <v>18702900</v>
      </c>
    </row>
    <row r="229" spans="1:4" x14ac:dyDescent="0.35">
      <c r="A229" s="29" t="s">
        <v>41</v>
      </c>
      <c r="B229" s="29" t="s">
        <v>42</v>
      </c>
      <c r="C229" s="29" t="s">
        <v>18</v>
      </c>
      <c r="D229" s="29">
        <v>14418000</v>
      </c>
    </row>
    <row r="230" spans="1:4" x14ac:dyDescent="0.35">
      <c r="A230" s="29" t="s">
        <v>41</v>
      </c>
      <c r="B230" s="29" t="s">
        <v>42</v>
      </c>
      <c r="C230" s="29" t="s">
        <v>19</v>
      </c>
      <c r="D230" s="29">
        <v>22043000</v>
      </c>
    </row>
    <row r="231" spans="1:4" x14ac:dyDescent="0.35">
      <c r="A231" s="29" t="s">
        <v>41</v>
      </c>
      <c r="B231" s="29" t="s">
        <v>42</v>
      </c>
      <c r="C231" s="29" t="s">
        <v>20</v>
      </c>
      <c r="D231" s="29">
        <v>18734600</v>
      </c>
    </row>
    <row r="232" spans="1:4" x14ac:dyDescent="0.35">
      <c r="A232" s="29" t="s">
        <v>41</v>
      </c>
      <c r="B232" s="29" t="s">
        <v>42</v>
      </c>
      <c r="C232" s="29" t="s">
        <v>21</v>
      </c>
      <c r="D232" s="29">
        <v>38173500</v>
      </c>
    </row>
    <row r="233" spans="1:4" x14ac:dyDescent="0.35">
      <c r="A233" s="29" t="s">
        <v>41</v>
      </c>
      <c r="B233" s="29" t="s">
        <v>43</v>
      </c>
      <c r="C233" s="29" t="s">
        <v>9</v>
      </c>
      <c r="D233" s="29">
        <v>15662500</v>
      </c>
    </row>
    <row r="234" spans="1:4" x14ac:dyDescent="0.35">
      <c r="A234" s="29" t="s">
        <v>41</v>
      </c>
      <c r="B234" s="29" t="s">
        <v>43</v>
      </c>
      <c r="C234" s="29" t="s">
        <v>10</v>
      </c>
      <c r="D234" s="29">
        <v>15405200</v>
      </c>
    </row>
    <row r="235" spans="1:4" x14ac:dyDescent="0.35">
      <c r="A235" s="29" t="s">
        <v>41</v>
      </c>
      <c r="B235" s="29" t="s">
        <v>43</v>
      </c>
      <c r="C235" s="29" t="s">
        <v>11</v>
      </c>
      <c r="D235" s="29">
        <v>10329000</v>
      </c>
    </row>
    <row r="236" spans="1:4" x14ac:dyDescent="0.35">
      <c r="A236" s="29" t="s">
        <v>41</v>
      </c>
      <c r="B236" s="29" t="s">
        <v>43</v>
      </c>
      <c r="C236" s="29" t="s">
        <v>12</v>
      </c>
      <c r="D236" s="29">
        <v>11375700</v>
      </c>
    </row>
    <row r="237" spans="1:4" x14ac:dyDescent="0.35">
      <c r="A237" s="29" t="s">
        <v>41</v>
      </c>
      <c r="B237" s="29" t="s">
        <v>43</v>
      </c>
      <c r="C237" s="29" t="s">
        <v>13</v>
      </c>
      <c r="D237" s="29">
        <v>17691800</v>
      </c>
    </row>
    <row r="238" spans="1:4" x14ac:dyDescent="0.35">
      <c r="A238" s="29" t="s">
        <v>41</v>
      </c>
      <c r="B238" s="29" t="s">
        <v>43</v>
      </c>
      <c r="C238" s="29" t="s">
        <v>15</v>
      </c>
      <c r="D238" s="29">
        <v>16804600</v>
      </c>
    </row>
    <row r="239" spans="1:4" x14ac:dyDescent="0.35">
      <c r="A239" s="29" t="s">
        <v>41</v>
      </c>
      <c r="B239" s="29" t="s">
        <v>43</v>
      </c>
      <c r="C239" s="29" t="s">
        <v>16</v>
      </c>
      <c r="D239" s="29">
        <v>21709100</v>
      </c>
    </row>
    <row r="240" spans="1:4" x14ac:dyDescent="0.35">
      <c r="A240" s="29" t="s">
        <v>41</v>
      </c>
      <c r="B240" s="29" t="s">
        <v>43</v>
      </c>
      <c r="C240" s="29" t="s">
        <v>17</v>
      </c>
      <c r="D240" s="29">
        <v>21480300</v>
      </c>
    </row>
    <row r="241" spans="1:4" x14ac:dyDescent="0.35">
      <c r="A241" s="29" t="s">
        <v>41</v>
      </c>
      <c r="B241" s="29" t="s">
        <v>43</v>
      </c>
      <c r="C241" s="29" t="s">
        <v>18</v>
      </c>
      <c r="D241" s="29">
        <v>27711000</v>
      </c>
    </row>
    <row r="242" spans="1:4" x14ac:dyDescent="0.35">
      <c r="A242" s="29" t="s">
        <v>41</v>
      </c>
      <c r="B242" s="29" t="s">
        <v>43</v>
      </c>
      <c r="C242" s="29" t="s">
        <v>19</v>
      </c>
      <c r="D242" s="29">
        <v>8451000</v>
      </c>
    </row>
    <row r="243" spans="1:4" x14ac:dyDescent="0.35">
      <c r="A243" s="29" t="s">
        <v>41</v>
      </c>
      <c r="B243" s="29" t="s">
        <v>43</v>
      </c>
      <c r="C243" s="29" t="s">
        <v>20</v>
      </c>
      <c r="D243" s="29">
        <v>17938500</v>
      </c>
    </row>
    <row r="244" spans="1:4" x14ac:dyDescent="0.35">
      <c r="A244" s="29" t="s">
        <v>41</v>
      </c>
      <c r="B244" s="29" t="s">
        <v>43</v>
      </c>
      <c r="C244" s="29" t="s">
        <v>21</v>
      </c>
      <c r="D244" s="29">
        <v>13712900</v>
      </c>
    </row>
    <row r="245" spans="1:4" x14ac:dyDescent="0.35">
      <c r="A245" s="29" t="s">
        <v>41</v>
      </c>
      <c r="B245" s="29" t="s">
        <v>44</v>
      </c>
      <c r="C245" s="29" t="s">
        <v>9</v>
      </c>
      <c r="D245" s="29">
        <v>9305300</v>
      </c>
    </row>
    <row r="246" spans="1:4" x14ac:dyDescent="0.35">
      <c r="A246" s="29" t="s">
        <v>41</v>
      </c>
      <c r="B246" s="29" t="s">
        <v>44</v>
      </c>
      <c r="C246" s="29" t="s">
        <v>10</v>
      </c>
      <c r="D246" s="29">
        <v>6906000</v>
      </c>
    </row>
    <row r="247" spans="1:4" x14ac:dyDescent="0.35">
      <c r="A247" s="29" t="s">
        <v>41</v>
      </c>
      <c r="B247" s="29" t="s">
        <v>44</v>
      </c>
      <c r="C247" s="29" t="s">
        <v>11</v>
      </c>
      <c r="D247" s="29">
        <v>6259700</v>
      </c>
    </row>
    <row r="248" spans="1:4" x14ac:dyDescent="0.35">
      <c r="A248" s="29" t="s">
        <v>41</v>
      </c>
      <c r="B248" s="29" t="s">
        <v>44</v>
      </c>
      <c r="C248" s="29" t="s">
        <v>12</v>
      </c>
      <c r="D248" s="29">
        <v>6716200</v>
      </c>
    </row>
    <row r="249" spans="1:4" x14ac:dyDescent="0.35">
      <c r="A249" s="29" t="s">
        <v>41</v>
      </c>
      <c r="B249" s="29" t="s">
        <v>44</v>
      </c>
      <c r="C249" s="29" t="s">
        <v>13</v>
      </c>
      <c r="D249" s="29">
        <v>13607400</v>
      </c>
    </row>
    <row r="250" spans="1:4" x14ac:dyDescent="0.35">
      <c r="A250" s="29" t="s">
        <v>41</v>
      </c>
      <c r="B250" s="29" t="s">
        <v>44</v>
      </c>
      <c r="C250" s="29" t="s">
        <v>15</v>
      </c>
      <c r="D250" s="29">
        <v>20769600</v>
      </c>
    </row>
    <row r="251" spans="1:4" x14ac:dyDescent="0.35">
      <c r="A251" s="29" t="s">
        <v>41</v>
      </c>
      <c r="B251" s="29" t="s">
        <v>44</v>
      </c>
      <c r="C251" s="29" t="s">
        <v>16</v>
      </c>
      <c r="D251" s="29">
        <v>7436900</v>
      </c>
    </row>
    <row r="252" spans="1:4" x14ac:dyDescent="0.35">
      <c r="A252" s="29" t="s">
        <v>41</v>
      </c>
      <c r="B252" s="29" t="s">
        <v>44</v>
      </c>
      <c r="C252" s="29" t="s">
        <v>17</v>
      </c>
      <c r="D252" s="29">
        <v>24285600</v>
      </c>
    </row>
    <row r="253" spans="1:4" x14ac:dyDescent="0.35">
      <c r="A253" s="29" t="s">
        <v>41</v>
      </c>
      <c r="B253" s="29" t="s">
        <v>44</v>
      </c>
      <c r="C253" s="29" t="s">
        <v>18</v>
      </c>
      <c r="D253" s="29">
        <v>9421900</v>
      </c>
    </row>
    <row r="254" spans="1:4" x14ac:dyDescent="0.35">
      <c r="A254" s="29" t="s">
        <v>41</v>
      </c>
      <c r="B254" s="29" t="s">
        <v>44</v>
      </c>
      <c r="C254" s="29" t="s">
        <v>19</v>
      </c>
      <c r="D254" s="29">
        <v>16102800</v>
      </c>
    </row>
    <row r="255" spans="1:4" x14ac:dyDescent="0.35">
      <c r="A255" s="29" t="s">
        <v>41</v>
      </c>
      <c r="B255" s="29" t="s">
        <v>44</v>
      </c>
      <c r="C255" s="29" t="s">
        <v>20</v>
      </c>
      <c r="D255" s="29">
        <v>11668900</v>
      </c>
    </row>
    <row r="256" spans="1:4" x14ac:dyDescent="0.35">
      <c r="A256" s="29" t="s">
        <v>41</v>
      </c>
      <c r="B256" s="29" t="s">
        <v>44</v>
      </c>
      <c r="C256" s="29" t="s">
        <v>21</v>
      </c>
      <c r="D256" s="29">
        <v>26634400</v>
      </c>
    </row>
    <row r="257" spans="1:4" x14ac:dyDescent="0.35">
      <c r="A257" s="29" t="s">
        <v>41</v>
      </c>
      <c r="B257" s="29" t="s">
        <v>45</v>
      </c>
      <c r="C257" s="29" t="s">
        <v>9</v>
      </c>
      <c r="D257" s="29">
        <v>14864300</v>
      </c>
    </row>
    <row r="258" spans="1:4" x14ac:dyDescent="0.35">
      <c r="A258" s="29" t="s">
        <v>41</v>
      </c>
      <c r="B258" s="29" t="s">
        <v>45</v>
      </c>
      <c r="C258" s="29" t="s">
        <v>10</v>
      </c>
      <c r="D258" s="29">
        <v>5597200</v>
      </c>
    </row>
    <row r="259" spans="1:4" x14ac:dyDescent="0.35">
      <c r="A259" s="29" t="s">
        <v>41</v>
      </c>
      <c r="B259" s="29" t="s">
        <v>45</v>
      </c>
      <c r="C259" s="29" t="s">
        <v>11</v>
      </c>
      <c r="D259" s="29">
        <v>9247900</v>
      </c>
    </row>
    <row r="260" spans="1:4" x14ac:dyDescent="0.35">
      <c r="A260" s="29" t="s">
        <v>41</v>
      </c>
      <c r="B260" s="29" t="s">
        <v>45</v>
      </c>
      <c r="C260" s="29" t="s">
        <v>12</v>
      </c>
      <c r="D260" s="29">
        <v>7519900</v>
      </c>
    </row>
    <row r="261" spans="1:4" x14ac:dyDescent="0.35">
      <c r="A261" s="29" t="s">
        <v>41</v>
      </c>
      <c r="B261" s="29" t="s">
        <v>45</v>
      </c>
      <c r="C261" s="29" t="s">
        <v>13</v>
      </c>
      <c r="D261" s="29">
        <v>25395100</v>
      </c>
    </row>
    <row r="262" spans="1:4" x14ac:dyDescent="0.35">
      <c r="A262" s="29" t="s">
        <v>41</v>
      </c>
      <c r="B262" s="29" t="s">
        <v>45</v>
      </c>
      <c r="C262" s="29" t="s">
        <v>15</v>
      </c>
      <c r="D262" s="29">
        <v>11355300</v>
      </c>
    </row>
    <row r="263" spans="1:4" x14ac:dyDescent="0.35">
      <c r="A263" s="29" t="s">
        <v>41</v>
      </c>
      <c r="B263" s="29" t="s">
        <v>45</v>
      </c>
      <c r="C263" s="29" t="s">
        <v>16</v>
      </c>
      <c r="D263" s="29">
        <v>21724300</v>
      </c>
    </row>
    <row r="264" spans="1:4" x14ac:dyDescent="0.35">
      <c r="A264" s="29" t="s">
        <v>41</v>
      </c>
      <c r="B264" s="29" t="s">
        <v>45</v>
      </c>
      <c r="C264" s="29" t="s">
        <v>17</v>
      </c>
      <c r="D264" s="29">
        <v>17075900</v>
      </c>
    </row>
    <row r="265" spans="1:4" x14ac:dyDescent="0.35">
      <c r="A265" s="29" t="s">
        <v>41</v>
      </c>
      <c r="B265" s="29" t="s">
        <v>45</v>
      </c>
      <c r="C265" s="29" t="s">
        <v>18</v>
      </c>
      <c r="D265" s="29">
        <v>14772600</v>
      </c>
    </row>
    <row r="266" spans="1:4" x14ac:dyDescent="0.35">
      <c r="A266" s="29" t="s">
        <v>41</v>
      </c>
      <c r="B266" s="29" t="s">
        <v>45</v>
      </c>
      <c r="C266" s="29" t="s">
        <v>19</v>
      </c>
      <c r="D266" s="29">
        <v>15260400</v>
      </c>
    </row>
    <row r="267" spans="1:4" x14ac:dyDescent="0.35">
      <c r="A267" s="29" t="s">
        <v>41</v>
      </c>
      <c r="B267" s="29" t="s">
        <v>45</v>
      </c>
      <c r="C267" s="29" t="s">
        <v>20</v>
      </c>
      <c r="D267" s="29">
        <v>20795400</v>
      </c>
    </row>
    <row r="268" spans="1:4" x14ac:dyDescent="0.35">
      <c r="A268" s="29" t="s">
        <v>41</v>
      </c>
      <c r="B268" s="29" t="s">
        <v>45</v>
      </c>
      <c r="C268" s="29" t="s">
        <v>21</v>
      </c>
      <c r="D268" s="29">
        <v>38728400</v>
      </c>
    </row>
    <row r="269" spans="1:4" x14ac:dyDescent="0.35">
      <c r="A269" s="29" t="s">
        <v>46</v>
      </c>
      <c r="B269" s="29" t="s">
        <v>47</v>
      </c>
      <c r="C269" s="29" t="s">
        <v>9</v>
      </c>
      <c r="D269" s="29">
        <v>6926300</v>
      </c>
    </row>
    <row r="270" spans="1:4" x14ac:dyDescent="0.35">
      <c r="A270" s="29" t="s">
        <v>46</v>
      </c>
      <c r="B270" s="29" t="s">
        <v>47</v>
      </c>
      <c r="C270" s="29" t="s">
        <v>10</v>
      </c>
      <c r="D270" s="29">
        <v>4736000</v>
      </c>
    </row>
    <row r="271" spans="1:4" x14ac:dyDescent="0.35">
      <c r="A271" s="29" t="s">
        <v>46</v>
      </c>
      <c r="B271" s="29" t="s">
        <v>47</v>
      </c>
      <c r="C271" s="29" t="s">
        <v>11</v>
      </c>
      <c r="D271" s="29">
        <v>6477400</v>
      </c>
    </row>
    <row r="272" spans="1:4" x14ac:dyDescent="0.35">
      <c r="A272" s="29" t="s">
        <v>46</v>
      </c>
      <c r="B272" s="29" t="s">
        <v>47</v>
      </c>
      <c r="C272" s="29" t="s">
        <v>12</v>
      </c>
      <c r="D272" s="29">
        <v>6223200</v>
      </c>
    </row>
    <row r="273" spans="1:4" x14ac:dyDescent="0.35">
      <c r="A273" s="29" t="s">
        <v>46</v>
      </c>
      <c r="B273" s="29" t="s">
        <v>47</v>
      </c>
      <c r="C273" s="29" t="s">
        <v>13</v>
      </c>
      <c r="D273" s="29">
        <v>12573400</v>
      </c>
    </row>
    <row r="274" spans="1:4" x14ac:dyDescent="0.35">
      <c r="A274" s="29" t="s">
        <v>46</v>
      </c>
      <c r="B274" s="29" t="s">
        <v>47</v>
      </c>
      <c r="C274" s="29" t="s">
        <v>15</v>
      </c>
      <c r="D274" s="29">
        <v>15758900</v>
      </c>
    </row>
    <row r="275" spans="1:4" x14ac:dyDescent="0.35">
      <c r="A275" s="29" t="s">
        <v>46</v>
      </c>
      <c r="B275" s="29" t="s">
        <v>47</v>
      </c>
      <c r="C275" s="29" t="s">
        <v>16</v>
      </c>
      <c r="D275" s="29">
        <v>26751600</v>
      </c>
    </row>
    <row r="276" spans="1:4" x14ac:dyDescent="0.35">
      <c r="A276" s="29" t="s">
        <v>46</v>
      </c>
      <c r="B276" s="29" t="s">
        <v>47</v>
      </c>
      <c r="C276" s="29" t="s">
        <v>17</v>
      </c>
      <c r="D276" s="29">
        <v>8141400</v>
      </c>
    </row>
    <row r="277" spans="1:4" x14ac:dyDescent="0.35">
      <c r="A277" s="29" t="s">
        <v>46</v>
      </c>
      <c r="B277" s="29" t="s">
        <v>47</v>
      </c>
      <c r="C277" s="29" t="s">
        <v>18</v>
      </c>
      <c r="D277" s="29">
        <v>8293400</v>
      </c>
    </row>
    <row r="278" spans="1:4" x14ac:dyDescent="0.35">
      <c r="A278" s="29" t="s">
        <v>46</v>
      </c>
      <c r="B278" s="29" t="s">
        <v>47</v>
      </c>
      <c r="C278" s="29" t="s">
        <v>19</v>
      </c>
      <c r="D278" s="29">
        <v>10246500</v>
      </c>
    </row>
    <row r="279" spans="1:4" x14ac:dyDescent="0.35">
      <c r="A279" s="29" t="s">
        <v>46</v>
      </c>
      <c r="B279" s="29" t="s">
        <v>47</v>
      </c>
      <c r="C279" s="29" t="s">
        <v>20</v>
      </c>
      <c r="D279" s="29">
        <v>16019900</v>
      </c>
    </row>
    <row r="280" spans="1:4" x14ac:dyDescent="0.35">
      <c r="A280" s="29" t="s">
        <v>46</v>
      </c>
      <c r="B280" s="29" t="s">
        <v>47</v>
      </c>
      <c r="C280" s="29" t="s">
        <v>21</v>
      </c>
      <c r="D280" s="29">
        <v>13817400</v>
      </c>
    </row>
    <row r="281" spans="1:4" x14ac:dyDescent="0.35">
      <c r="A281" s="29" t="s">
        <v>46</v>
      </c>
      <c r="B281" s="29" t="s">
        <v>48</v>
      </c>
      <c r="C281" s="29" t="s">
        <v>9</v>
      </c>
      <c r="D281" s="29">
        <v>1954700</v>
      </c>
    </row>
    <row r="282" spans="1:4" x14ac:dyDescent="0.35">
      <c r="A282" s="29" t="s">
        <v>46</v>
      </c>
      <c r="B282" s="29" t="s">
        <v>48</v>
      </c>
      <c r="C282" s="29" t="s">
        <v>10</v>
      </c>
      <c r="D282" s="29">
        <v>9516300</v>
      </c>
    </row>
    <row r="283" spans="1:4" x14ac:dyDescent="0.35">
      <c r="A283" s="29" t="s">
        <v>46</v>
      </c>
      <c r="B283" s="29" t="s">
        <v>48</v>
      </c>
      <c r="C283" s="29" t="s">
        <v>11</v>
      </c>
      <c r="D283" s="29">
        <v>3618400</v>
      </c>
    </row>
    <row r="284" spans="1:4" x14ac:dyDescent="0.35">
      <c r="A284" s="29" t="s">
        <v>46</v>
      </c>
      <c r="B284" s="29" t="s">
        <v>48</v>
      </c>
      <c r="C284" s="29" t="s">
        <v>12</v>
      </c>
      <c r="D284" s="29">
        <v>4808800</v>
      </c>
    </row>
    <row r="285" spans="1:4" x14ac:dyDescent="0.35">
      <c r="A285" s="29" t="s">
        <v>46</v>
      </c>
      <c r="B285" s="29" t="s">
        <v>48</v>
      </c>
      <c r="C285" s="29" t="s">
        <v>13</v>
      </c>
      <c r="D285" s="29">
        <v>15147200</v>
      </c>
    </row>
    <row r="286" spans="1:4" x14ac:dyDescent="0.35">
      <c r="A286" s="29" t="s">
        <v>46</v>
      </c>
      <c r="B286" s="29" t="s">
        <v>48</v>
      </c>
      <c r="C286" s="29" t="s">
        <v>15</v>
      </c>
      <c r="D286" s="29">
        <v>13358200</v>
      </c>
    </row>
    <row r="287" spans="1:4" x14ac:dyDescent="0.35">
      <c r="A287" s="29" t="s">
        <v>46</v>
      </c>
      <c r="B287" s="29" t="s">
        <v>48</v>
      </c>
      <c r="C287" s="29" t="s">
        <v>16</v>
      </c>
      <c r="D287" s="29">
        <v>12010200</v>
      </c>
    </row>
    <row r="288" spans="1:4" x14ac:dyDescent="0.35">
      <c r="A288" s="29" t="s">
        <v>46</v>
      </c>
      <c r="B288" s="29" t="s">
        <v>48</v>
      </c>
      <c r="C288" s="29" t="s">
        <v>17</v>
      </c>
      <c r="D288" s="29">
        <v>12008700</v>
      </c>
    </row>
    <row r="289" spans="1:4" x14ac:dyDescent="0.35">
      <c r="A289" s="29" t="s">
        <v>46</v>
      </c>
      <c r="B289" s="29" t="s">
        <v>48</v>
      </c>
      <c r="C289" s="29" t="s">
        <v>18</v>
      </c>
      <c r="D289" s="29">
        <v>7154500</v>
      </c>
    </row>
    <row r="290" spans="1:4" x14ac:dyDescent="0.35">
      <c r="A290" s="29" t="s">
        <v>46</v>
      </c>
      <c r="B290" s="29" t="s">
        <v>48</v>
      </c>
      <c r="C290" s="29" t="s">
        <v>19</v>
      </c>
      <c r="D290" s="29">
        <v>10589800</v>
      </c>
    </row>
    <row r="291" spans="1:4" x14ac:dyDescent="0.35">
      <c r="A291" s="29" t="s">
        <v>46</v>
      </c>
      <c r="B291" s="29" t="s">
        <v>48</v>
      </c>
      <c r="C291" s="29" t="s">
        <v>20</v>
      </c>
      <c r="D291" s="29">
        <v>30476200</v>
      </c>
    </row>
    <row r="292" spans="1:4" x14ac:dyDescent="0.35">
      <c r="A292" s="29" t="s">
        <v>46</v>
      </c>
      <c r="B292" s="29" t="s">
        <v>48</v>
      </c>
      <c r="C292" s="29" t="s">
        <v>21</v>
      </c>
      <c r="D292" s="29">
        <v>23370900</v>
      </c>
    </row>
    <row r="293" spans="1:4" x14ac:dyDescent="0.35">
      <c r="A293" s="29" t="s">
        <v>46</v>
      </c>
      <c r="B293" s="29" t="s">
        <v>49</v>
      </c>
      <c r="C293" s="29" t="s">
        <v>9</v>
      </c>
      <c r="D293" s="29">
        <v>4492200</v>
      </c>
    </row>
    <row r="294" spans="1:4" x14ac:dyDescent="0.35">
      <c r="A294" s="29" t="s">
        <v>46</v>
      </c>
      <c r="B294" s="29" t="s">
        <v>49</v>
      </c>
      <c r="C294" s="29" t="s">
        <v>10</v>
      </c>
      <c r="D294" s="29">
        <v>2943900</v>
      </c>
    </row>
    <row r="295" spans="1:4" x14ac:dyDescent="0.35">
      <c r="A295" s="29" t="s">
        <v>46</v>
      </c>
      <c r="B295" s="29" t="s">
        <v>49</v>
      </c>
      <c r="C295" s="29" t="s">
        <v>11</v>
      </c>
      <c r="D295" s="29">
        <v>6289600</v>
      </c>
    </row>
    <row r="296" spans="1:4" x14ac:dyDescent="0.35">
      <c r="A296" s="29" t="s">
        <v>46</v>
      </c>
      <c r="B296" s="29" t="s">
        <v>49</v>
      </c>
      <c r="C296" s="29" t="s">
        <v>12</v>
      </c>
      <c r="D296" s="29">
        <v>4280200</v>
      </c>
    </row>
    <row r="297" spans="1:4" x14ac:dyDescent="0.35">
      <c r="A297" s="29" t="s">
        <v>46</v>
      </c>
      <c r="B297" s="29" t="s">
        <v>49</v>
      </c>
      <c r="C297" s="29" t="s">
        <v>13</v>
      </c>
      <c r="D297" s="29">
        <v>20845900</v>
      </c>
    </row>
    <row r="298" spans="1:4" x14ac:dyDescent="0.35">
      <c r="A298" s="29" t="s">
        <v>46</v>
      </c>
      <c r="B298" s="29" t="s">
        <v>49</v>
      </c>
      <c r="C298" s="29" t="s">
        <v>15</v>
      </c>
      <c r="D298" s="29">
        <v>15606400</v>
      </c>
    </row>
    <row r="299" spans="1:4" x14ac:dyDescent="0.35">
      <c r="A299" s="29" t="s">
        <v>46</v>
      </c>
      <c r="B299" s="29" t="s">
        <v>49</v>
      </c>
      <c r="C299" s="29" t="s">
        <v>16</v>
      </c>
      <c r="D299" s="29">
        <v>13546100</v>
      </c>
    </row>
    <row r="300" spans="1:4" x14ac:dyDescent="0.35">
      <c r="A300" s="29" t="s">
        <v>46</v>
      </c>
      <c r="B300" s="29" t="s">
        <v>49</v>
      </c>
      <c r="C300" s="29" t="s">
        <v>17</v>
      </c>
      <c r="D300" s="29">
        <v>15984500</v>
      </c>
    </row>
    <row r="301" spans="1:4" x14ac:dyDescent="0.35">
      <c r="A301" s="29" t="s">
        <v>46</v>
      </c>
      <c r="B301" s="29" t="s">
        <v>49</v>
      </c>
      <c r="C301" s="29" t="s">
        <v>18</v>
      </c>
      <c r="D301" s="29">
        <v>18132100</v>
      </c>
    </row>
    <row r="302" spans="1:4" x14ac:dyDescent="0.35">
      <c r="A302" s="29" t="s">
        <v>46</v>
      </c>
      <c r="B302" s="29" t="s">
        <v>49</v>
      </c>
      <c r="C302" s="29" t="s">
        <v>19</v>
      </c>
      <c r="D302" s="29">
        <v>10132800</v>
      </c>
    </row>
    <row r="303" spans="1:4" x14ac:dyDescent="0.35">
      <c r="A303" s="29" t="s">
        <v>46</v>
      </c>
      <c r="B303" s="29" t="s">
        <v>49</v>
      </c>
      <c r="C303" s="29" t="s">
        <v>20</v>
      </c>
      <c r="D303" s="29">
        <v>14231300</v>
      </c>
    </row>
    <row r="304" spans="1:4" x14ac:dyDescent="0.35">
      <c r="A304" s="29" t="s">
        <v>46</v>
      </c>
      <c r="B304" s="29" t="s">
        <v>49</v>
      </c>
      <c r="C304" s="29" t="s">
        <v>21</v>
      </c>
      <c r="D304" s="29">
        <v>19068700</v>
      </c>
    </row>
    <row r="305" spans="1:4" x14ac:dyDescent="0.35">
      <c r="A305" s="29" t="s">
        <v>50</v>
      </c>
      <c r="B305" s="29" t="s">
        <v>51</v>
      </c>
      <c r="C305" s="29" t="s">
        <v>9</v>
      </c>
      <c r="D305" s="29">
        <v>13100</v>
      </c>
    </row>
    <row r="306" spans="1:4" x14ac:dyDescent="0.35">
      <c r="A306" s="29" t="s">
        <v>50</v>
      </c>
      <c r="B306" s="29" t="s">
        <v>51</v>
      </c>
      <c r="C306" s="29" t="s">
        <v>10</v>
      </c>
      <c r="D306" s="29">
        <v>16000</v>
      </c>
    </row>
    <row r="307" spans="1:4" x14ac:dyDescent="0.35">
      <c r="A307" s="29" t="s">
        <v>50</v>
      </c>
      <c r="B307" s="29" t="s">
        <v>51</v>
      </c>
      <c r="C307" s="29" t="s">
        <v>11</v>
      </c>
      <c r="D307" s="29">
        <v>52300</v>
      </c>
    </row>
    <row r="308" spans="1:4" x14ac:dyDescent="0.35">
      <c r="A308" s="29" t="s">
        <v>50</v>
      </c>
      <c r="B308" s="29" t="s">
        <v>51</v>
      </c>
      <c r="C308" s="29" t="s">
        <v>12</v>
      </c>
      <c r="D308" s="29">
        <v>2300</v>
      </c>
    </row>
    <row r="309" spans="1:4" x14ac:dyDescent="0.35">
      <c r="A309" s="29" t="s">
        <v>50</v>
      </c>
      <c r="B309" s="29" t="s">
        <v>51</v>
      </c>
      <c r="C309" s="29" t="s">
        <v>13</v>
      </c>
      <c r="D309" s="29">
        <v>2959500</v>
      </c>
    </row>
    <row r="310" spans="1:4" x14ac:dyDescent="0.35">
      <c r="A310" s="29" t="s">
        <v>50</v>
      </c>
      <c r="B310" s="29" t="s">
        <v>51</v>
      </c>
      <c r="C310" s="29" t="s">
        <v>15</v>
      </c>
      <c r="D310" s="29">
        <v>103000</v>
      </c>
    </row>
    <row r="311" spans="1:4" x14ac:dyDescent="0.35">
      <c r="A311" s="29" t="s">
        <v>50</v>
      </c>
      <c r="B311" s="29" t="s">
        <v>51</v>
      </c>
      <c r="C311" s="29" t="s">
        <v>16</v>
      </c>
      <c r="D311" s="29">
        <v>9100</v>
      </c>
    </row>
    <row r="312" spans="1:4" x14ac:dyDescent="0.35">
      <c r="A312" s="29" t="s">
        <v>50</v>
      </c>
      <c r="B312" s="29" t="s">
        <v>51</v>
      </c>
      <c r="C312" s="29" t="s">
        <v>17</v>
      </c>
      <c r="D312" s="29">
        <v>4430300</v>
      </c>
    </row>
    <row r="313" spans="1:4" x14ac:dyDescent="0.35">
      <c r="A313" s="29" t="s">
        <v>50</v>
      </c>
      <c r="B313" s="29" t="s">
        <v>51</v>
      </c>
      <c r="C313" s="29" t="s">
        <v>18</v>
      </c>
      <c r="D313" s="29">
        <v>491200</v>
      </c>
    </row>
    <row r="314" spans="1:4" x14ac:dyDescent="0.35">
      <c r="A314" s="29" t="s">
        <v>50</v>
      </c>
      <c r="B314" s="29" t="s">
        <v>51</v>
      </c>
      <c r="C314" s="29" t="s">
        <v>19</v>
      </c>
      <c r="D314" s="29">
        <v>8867000</v>
      </c>
    </row>
    <row r="315" spans="1:4" x14ac:dyDescent="0.35">
      <c r="A315" s="29" t="s">
        <v>50</v>
      </c>
      <c r="B315" s="29" t="s">
        <v>51</v>
      </c>
      <c r="C315" s="29" t="s">
        <v>20</v>
      </c>
      <c r="D315" s="29">
        <v>647300</v>
      </c>
    </row>
    <row r="316" spans="1:4" x14ac:dyDescent="0.35">
      <c r="A316" s="29" t="s">
        <v>50</v>
      </c>
      <c r="B316" s="29" t="s">
        <v>51</v>
      </c>
      <c r="C316" s="29" t="s">
        <v>21</v>
      </c>
      <c r="D316" s="29">
        <v>114400</v>
      </c>
    </row>
    <row r="317" spans="1:4" x14ac:dyDescent="0.35">
      <c r="A317" s="29" t="s">
        <v>52</v>
      </c>
      <c r="B317" s="29" t="s">
        <v>53</v>
      </c>
      <c r="C317" s="29" t="s">
        <v>9</v>
      </c>
      <c r="D317" s="29">
        <v>0</v>
      </c>
    </row>
    <row r="318" spans="1:4" x14ac:dyDescent="0.35">
      <c r="A318" s="29" t="s">
        <v>52</v>
      </c>
      <c r="B318" s="29" t="s">
        <v>53</v>
      </c>
      <c r="C318" s="29" t="s">
        <v>10</v>
      </c>
      <c r="D318" s="29">
        <v>0</v>
      </c>
    </row>
    <row r="319" spans="1:4" x14ac:dyDescent="0.35">
      <c r="A319" s="29" t="s">
        <v>52</v>
      </c>
      <c r="B319" s="29" t="s">
        <v>53</v>
      </c>
      <c r="C319" s="29" t="s">
        <v>11</v>
      </c>
      <c r="D319" s="29">
        <v>0</v>
      </c>
    </row>
    <row r="320" spans="1:4" x14ac:dyDescent="0.35">
      <c r="A320" s="29" t="s">
        <v>52</v>
      </c>
      <c r="B320" s="29" t="s">
        <v>53</v>
      </c>
      <c r="C320" s="29" t="s">
        <v>12</v>
      </c>
      <c r="D320" s="29">
        <v>265300</v>
      </c>
    </row>
    <row r="321" spans="1:4" x14ac:dyDescent="0.35">
      <c r="A321" s="29" t="s">
        <v>52</v>
      </c>
      <c r="B321" s="29" t="s">
        <v>53</v>
      </c>
      <c r="C321" s="29" t="s">
        <v>13</v>
      </c>
      <c r="D321" s="29">
        <v>37400</v>
      </c>
    </row>
    <row r="322" spans="1:4" x14ac:dyDescent="0.35">
      <c r="A322" s="29" t="s">
        <v>52</v>
      </c>
      <c r="B322" s="29" t="s">
        <v>53</v>
      </c>
      <c r="C322" s="29" t="s">
        <v>15</v>
      </c>
      <c r="D322" s="29">
        <v>10700</v>
      </c>
    </row>
    <row r="323" spans="1:4" x14ac:dyDescent="0.35">
      <c r="A323" s="29" t="s">
        <v>52</v>
      </c>
      <c r="B323" s="29" t="s">
        <v>53</v>
      </c>
      <c r="C323" s="29" t="s">
        <v>16</v>
      </c>
      <c r="D323" s="29">
        <v>0</v>
      </c>
    </row>
    <row r="324" spans="1:4" x14ac:dyDescent="0.35">
      <c r="A324" s="29" t="s">
        <v>52</v>
      </c>
      <c r="B324" s="29" t="s">
        <v>53</v>
      </c>
      <c r="C324" s="29" t="s">
        <v>17</v>
      </c>
      <c r="D324" s="29">
        <v>30800</v>
      </c>
    </row>
    <row r="325" spans="1:4" x14ac:dyDescent="0.35">
      <c r="A325" s="29" t="s">
        <v>52</v>
      </c>
      <c r="B325" s="29" t="s">
        <v>53</v>
      </c>
      <c r="C325" s="29" t="s">
        <v>18</v>
      </c>
      <c r="D325" s="29">
        <v>0</v>
      </c>
    </row>
    <row r="326" spans="1:4" x14ac:dyDescent="0.35">
      <c r="A326" s="29" t="s">
        <v>52</v>
      </c>
      <c r="B326" s="29" t="s">
        <v>53</v>
      </c>
      <c r="C326" s="29" t="s">
        <v>19</v>
      </c>
      <c r="D326" s="29">
        <v>0</v>
      </c>
    </row>
    <row r="327" spans="1:4" x14ac:dyDescent="0.35">
      <c r="A327" s="29" t="s">
        <v>52</v>
      </c>
      <c r="B327" s="29" t="s">
        <v>53</v>
      </c>
      <c r="C327" s="29" t="s">
        <v>20</v>
      </c>
      <c r="D327" s="29">
        <v>43000</v>
      </c>
    </row>
    <row r="328" spans="1:4" x14ac:dyDescent="0.35">
      <c r="A328" s="29" t="s">
        <v>52</v>
      </c>
      <c r="B328" s="29" t="s">
        <v>53</v>
      </c>
      <c r="C328" s="29" t="s">
        <v>21</v>
      </c>
      <c r="D328" s="29">
        <v>14500</v>
      </c>
    </row>
    <row r="329" spans="1:4" x14ac:dyDescent="0.35">
      <c r="A329" s="29" t="s">
        <v>54</v>
      </c>
      <c r="B329" s="29" t="s">
        <v>55</v>
      </c>
      <c r="C329" s="29" t="s">
        <v>9</v>
      </c>
      <c r="D329" s="29">
        <v>0</v>
      </c>
    </row>
    <row r="330" spans="1:4" x14ac:dyDescent="0.35">
      <c r="A330" s="29" t="s">
        <v>54</v>
      </c>
      <c r="B330" s="29" t="s">
        <v>55</v>
      </c>
      <c r="C330" s="29" t="s">
        <v>10</v>
      </c>
      <c r="D330" s="29">
        <v>2000</v>
      </c>
    </row>
    <row r="331" spans="1:4" x14ac:dyDescent="0.35">
      <c r="A331" s="29" t="s">
        <v>54</v>
      </c>
      <c r="B331" s="29" t="s">
        <v>55</v>
      </c>
      <c r="C331" s="29" t="s">
        <v>11</v>
      </c>
      <c r="D331" s="29">
        <v>13700</v>
      </c>
    </row>
    <row r="332" spans="1:4" x14ac:dyDescent="0.35">
      <c r="A332" s="29" t="s">
        <v>54</v>
      </c>
      <c r="B332" s="29" t="s">
        <v>55</v>
      </c>
      <c r="C332" s="29" t="s">
        <v>12</v>
      </c>
      <c r="D332" s="29">
        <v>12100</v>
      </c>
    </row>
    <row r="333" spans="1:4" x14ac:dyDescent="0.35">
      <c r="A333" s="29" t="s">
        <v>54</v>
      </c>
      <c r="B333" s="29" t="s">
        <v>55</v>
      </c>
      <c r="C333" s="29" t="s">
        <v>13</v>
      </c>
      <c r="D333" s="29">
        <v>10200</v>
      </c>
    </row>
    <row r="334" spans="1:4" x14ac:dyDescent="0.35">
      <c r="A334" s="29" t="s">
        <v>54</v>
      </c>
      <c r="B334" s="29" t="s">
        <v>55</v>
      </c>
      <c r="C334" s="29" t="s">
        <v>15</v>
      </c>
      <c r="D334" s="29">
        <v>0</v>
      </c>
    </row>
    <row r="335" spans="1:4" x14ac:dyDescent="0.35">
      <c r="A335" s="29" t="s">
        <v>54</v>
      </c>
      <c r="B335" s="29" t="s">
        <v>55</v>
      </c>
      <c r="C335" s="29" t="s">
        <v>16</v>
      </c>
      <c r="D335" s="29">
        <v>16200</v>
      </c>
    </row>
    <row r="336" spans="1:4" x14ac:dyDescent="0.35">
      <c r="A336" s="29" t="s">
        <v>54</v>
      </c>
      <c r="B336" s="29" t="s">
        <v>55</v>
      </c>
      <c r="C336" s="29" t="s">
        <v>17</v>
      </c>
      <c r="D336" s="29">
        <v>19400</v>
      </c>
    </row>
    <row r="337" spans="1:4" x14ac:dyDescent="0.35">
      <c r="A337" s="29" t="s">
        <v>54</v>
      </c>
      <c r="B337" s="29" t="s">
        <v>55</v>
      </c>
      <c r="C337" s="29" t="s">
        <v>18</v>
      </c>
      <c r="D337" s="29">
        <v>0</v>
      </c>
    </row>
    <row r="338" spans="1:4" x14ac:dyDescent="0.35">
      <c r="A338" s="29" t="s">
        <v>54</v>
      </c>
      <c r="B338" s="29" t="s">
        <v>55</v>
      </c>
      <c r="C338" s="29" t="s">
        <v>19</v>
      </c>
      <c r="D338" s="29">
        <v>486900</v>
      </c>
    </row>
    <row r="339" spans="1:4" x14ac:dyDescent="0.35">
      <c r="A339" s="29" t="s">
        <v>54</v>
      </c>
      <c r="B339" s="29" t="s">
        <v>55</v>
      </c>
      <c r="C339" s="29" t="s">
        <v>20</v>
      </c>
      <c r="D339" s="29">
        <v>45700</v>
      </c>
    </row>
    <row r="340" spans="1:4" x14ac:dyDescent="0.35">
      <c r="A340" s="29" t="s">
        <v>54</v>
      </c>
      <c r="B340" s="29" t="s">
        <v>55</v>
      </c>
      <c r="C340" s="29" t="s">
        <v>21</v>
      </c>
      <c r="D340" s="29">
        <v>16400</v>
      </c>
    </row>
    <row r="341" spans="1:4" x14ac:dyDescent="0.35">
      <c r="A341" s="29" t="s">
        <v>54</v>
      </c>
      <c r="B341" s="29" t="s">
        <v>56</v>
      </c>
      <c r="C341" s="29" t="s">
        <v>9</v>
      </c>
      <c r="D341" s="29">
        <v>1900</v>
      </c>
    </row>
    <row r="342" spans="1:4" x14ac:dyDescent="0.35">
      <c r="A342" s="29" t="s">
        <v>54</v>
      </c>
      <c r="B342" s="29" t="s">
        <v>56</v>
      </c>
      <c r="C342" s="29" t="s">
        <v>10</v>
      </c>
      <c r="D342" s="29">
        <v>15900</v>
      </c>
    </row>
    <row r="343" spans="1:4" x14ac:dyDescent="0.35">
      <c r="A343" s="29" t="s">
        <v>54</v>
      </c>
      <c r="B343" s="29" t="s">
        <v>56</v>
      </c>
      <c r="C343" s="29" t="s">
        <v>11</v>
      </c>
      <c r="D343" s="29">
        <v>13300</v>
      </c>
    </row>
    <row r="344" spans="1:4" x14ac:dyDescent="0.35">
      <c r="A344" s="29" t="s">
        <v>54</v>
      </c>
      <c r="B344" s="29" t="s">
        <v>56</v>
      </c>
      <c r="C344" s="29" t="s">
        <v>12</v>
      </c>
      <c r="D344" s="29">
        <v>3400</v>
      </c>
    </row>
    <row r="345" spans="1:4" x14ac:dyDescent="0.35">
      <c r="A345" s="29" t="s">
        <v>54</v>
      </c>
      <c r="B345" s="29" t="s">
        <v>56</v>
      </c>
      <c r="C345" s="29" t="s">
        <v>13</v>
      </c>
      <c r="D345" s="29">
        <v>47900</v>
      </c>
    </row>
    <row r="346" spans="1:4" x14ac:dyDescent="0.35">
      <c r="A346" s="29" t="s">
        <v>54</v>
      </c>
      <c r="B346" s="29" t="s">
        <v>56</v>
      </c>
      <c r="C346" s="29" t="s">
        <v>15</v>
      </c>
      <c r="D346" s="29">
        <v>0</v>
      </c>
    </row>
    <row r="347" spans="1:4" x14ac:dyDescent="0.35">
      <c r="A347" s="29" t="s">
        <v>54</v>
      </c>
      <c r="B347" s="29" t="s">
        <v>56</v>
      </c>
      <c r="C347" s="29" t="s">
        <v>16</v>
      </c>
      <c r="D347" s="29">
        <v>358500</v>
      </c>
    </row>
    <row r="348" spans="1:4" x14ac:dyDescent="0.35">
      <c r="A348" s="29" t="s">
        <v>54</v>
      </c>
      <c r="B348" s="29" t="s">
        <v>56</v>
      </c>
      <c r="C348" s="29" t="s">
        <v>17</v>
      </c>
      <c r="D348" s="29">
        <v>20400</v>
      </c>
    </row>
    <row r="349" spans="1:4" x14ac:dyDescent="0.35">
      <c r="A349" s="29" t="s">
        <v>54</v>
      </c>
      <c r="B349" s="29" t="s">
        <v>56</v>
      </c>
      <c r="C349" s="29" t="s">
        <v>18</v>
      </c>
      <c r="D349" s="29">
        <v>0</v>
      </c>
    </row>
    <row r="350" spans="1:4" x14ac:dyDescent="0.35">
      <c r="A350" s="29" t="s">
        <v>54</v>
      </c>
      <c r="B350" s="29" t="s">
        <v>56</v>
      </c>
      <c r="C350" s="29" t="s">
        <v>19</v>
      </c>
      <c r="D350" s="29">
        <v>155500</v>
      </c>
    </row>
    <row r="351" spans="1:4" x14ac:dyDescent="0.35">
      <c r="A351" s="29" t="s">
        <v>54</v>
      </c>
      <c r="B351" s="29" t="s">
        <v>56</v>
      </c>
      <c r="C351" s="29" t="s">
        <v>20</v>
      </c>
      <c r="D351" s="29">
        <v>556000</v>
      </c>
    </row>
    <row r="352" spans="1:4" x14ac:dyDescent="0.35">
      <c r="A352" s="29" t="s">
        <v>54</v>
      </c>
      <c r="B352" s="29" t="s">
        <v>56</v>
      </c>
      <c r="C352" s="29" t="s">
        <v>21</v>
      </c>
      <c r="D352" s="29">
        <v>9400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CAAE4-34C2-4661-AB27-0D983ABE5BD7}">
  <dimension ref="A1:O45"/>
  <sheetViews>
    <sheetView showGridLines="0" zoomScaleNormal="100" workbookViewId="0">
      <selection activeCell="B22" sqref="B22"/>
    </sheetView>
  </sheetViews>
  <sheetFormatPr defaultRowHeight="14.5" x14ac:dyDescent="0.35"/>
  <cols>
    <col min="1" max="1" width="2.81640625" customWidth="1"/>
    <col min="2" max="2" width="37.453125" bestFit="1" customWidth="1"/>
    <col min="3" max="14" width="14.26953125" bestFit="1" customWidth="1"/>
    <col min="15" max="15" width="15.81640625" bestFit="1" customWidth="1"/>
  </cols>
  <sheetData>
    <row r="1" spans="1:15" s="28" customFormat="1" ht="19" customHeight="1" x14ac:dyDescent="0.35">
      <c r="A1" s="3"/>
      <c r="B1" s="6" t="s">
        <v>57</v>
      </c>
      <c r="C1" s="6"/>
      <c r="D1" s="6"/>
      <c r="E1" s="6"/>
      <c r="F1" s="6"/>
      <c r="G1" s="6"/>
      <c r="H1" s="6"/>
      <c r="I1" s="6"/>
      <c r="J1" s="6"/>
      <c r="K1" s="6"/>
      <c r="L1" s="6"/>
      <c r="M1" s="5"/>
      <c r="N1" s="5"/>
      <c r="O1" s="5"/>
    </row>
    <row r="2" spans="1:15" s="28" customFormat="1" ht="16.149999999999999" customHeight="1" x14ac:dyDescent="0.35">
      <c r="A2" s="3"/>
      <c r="B2" s="4" t="s">
        <v>58</v>
      </c>
      <c r="C2" s="4"/>
      <c r="D2" s="4"/>
      <c r="E2" s="4"/>
      <c r="F2" s="4"/>
      <c r="G2" s="4"/>
      <c r="H2" s="4"/>
      <c r="I2" s="4"/>
      <c r="J2" s="4"/>
      <c r="K2" s="4"/>
      <c r="L2" s="4"/>
      <c r="M2" s="3"/>
      <c r="N2" s="3"/>
      <c r="O2" s="27" t="s">
        <v>2</v>
      </c>
    </row>
    <row r="3" spans="1:15" ht="10.15" customHeight="1" x14ac:dyDescent="0.35"/>
    <row r="4" spans="1:15" ht="15" thickBot="1" x14ac:dyDescent="0.4">
      <c r="A4" s="14" t="s">
        <v>59</v>
      </c>
      <c r="B4" s="8"/>
      <c r="C4" s="15">
        <v>44197</v>
      </c>
      <c r="D4" s="15">
        <v>44228</v>
      </c>
      <c r="E4" s="15">
        <v>44256</v>
      </c>
      <c r="F4" s="15">
        <v>44287</v>
      </c>
      <c r="G4" s="15">
        <v>44317</v>
      </c>
      <c r="H4" s="15">
        <v>44348</v>
      </c>
      <c r="I4" s="15">
        <v>44378</v>
      </c>
      <c r="J4" s="15">
        <v>44409</v>
      </c>
      <c r="K4" s="15">
        <v>44440</v>
      </c>
      <c r="L4" s="15">
        <v>44470</v>
      </c>
      <c r="M4" s="15">
        <v>44501</v>
      </c>
      <c r="N4" s="15">
        <v>44531</v>
      </c>
      <c r="O4" s="8" t="s">
        <v>60</v>
      </c>
    </row>
    <row r="5" spans="1:15" ht="15.5" thickTop="1" thickBot="1" x14ac:dyDescent="0.4">
      <c r="A5" s="24" t="s">
        <v>7</v>
      </c>
      <c r="B5" s="25"/>
      <c r="C5" s="26">
        <f>SUM(C6:C7)</f>
        <v>78127300</v>
      </c>
      <c r="D5" s="26">
        <f t="shared" ref="D5:N5" si="0">SUM(D6:D7)</f>
        <v>48319100</v>
      </c>
      <c r="E5" s="26">
        <f t="shared" si="0"/>
        <v>19634000</v>
      </c>
      <c r="F5" s="26">
        <f t="shared" si="0"/>
        <v>57968100</v>
      </c>
      <c r="G5" s="26">
        <f t="shared" si="0"/>
        <v>97589000</v>
      </c>
      <c r="H5" s="26">
        <f t="shared" si="0"/>
        <v>88582500</v>
      </c>
      <c r="I5" s="26">
        <f t="shared" si="0"/>
        <v>119956700</v>
      </c>
      <c r="J5" s="26">
        <f t="shared" si="0"/>
        <v>81206300</v>
      </c>
      <c r="K5" s="26">
        <f t="shared" si="0"/>
        <v>67159300</v>
      </c>
      <c r="L5" s="26">
        <f t="shared" si="0"/>
        <v>59010200</v>
      </c>
      <c r="M5" s="26">
        <f t="shared" si="0"/>
        <v>64309300</v>
      </c>
      <c r="N5" s="26">
        <f t="shared" si="0"/>
        <v>99059200</v>
      </c>
      <c r="O5" s="26">
        <f>SUM(C5:N5)</f>
        <v>880921000</v>
      </c>
    </row>
    <row r="6" spans="1:15" ht="15.5" thickTop="1" thickBot="1" x14ac:dyDescent="0.4">
      <c r="B6" s="19" t="s">
        <v>8</v>
      </c>
      <c r="C6" s="20">
        <v>57972500</v>
      </c>
      <c r="D6" s="20">
        <v>25196900</v>
      </c>
      <c r="E6" s="20">
        <v>8094800</v>
      </c>
      <c r="F6" s="20">
        <v>22154100</v>
      </c>
      <c r="G6" s="20">
        <v>66491400</v>
      </c>
      <c r="H6" s="20">
        <v>30888600</v>
      </c>
      <c r="I6" s="20">
        <v>94151400</v>
      </c>
      <c r="J6" s="20">
        <v>44775100</v>
      </c>
      <c r="K6" s="20">
        <v>47463900</v>
      </c>
      <c r="L6" s="20">
        <v>32915700</v>
      </c>
      <c r="M6" s="20">
        <v>38236900</v>
      </c>
      <c r="N6" s="20">
        <v>43192500</v>
      </c>
      <c r="O6" s="21">
        <f t="shared" ref="O6:O44" si="1">SUM(C6:N6)</f>
        <v>511533800</v>
      </c>
    </row>
    <row r="7" spans="1:15" ht="15" thickBot="1" x14ac:dyDescent="0.4">
      <c r="B7" s="16" t="s">
        <v>22</v>
      </c>
      <c r="C7" s="17">
        <v>20154800</v>
      </c>
      <c r="D7" s="17">
        <v>23122200</v>
      </c>
      <c r="E7" s="17">
        <v>11539200</v>
      </c>
      <c r="F7" s="17">
        <v>35814000</v>
      </c>
      <c r="G7" s="17">
        <v>31097600</v>
      </c>
      <c r="H7" s="17">
        <v>57693900</v>
      </c>
      <c r="I7" s="17">
        <v>25805300</v>
      </c>
      <c r="J7" s="17">
        <v>36431200</v>
      </c>
      <c r="K7" s="17">
        <v>19695400</v>
      </c>
      <c r="L7" s="17">
        <v>26094500</v>
      </c>
      <c r="M7" s="17">
        <v>26072400</v>
      </c>
      <c r="N7" s="17">
        <v>55866700</v>
      </c>
      <c r="O7" s="18">
        <f t="shared" si="1"/>
        <v>369387200</v>
      </c>
    </row>
    <row r="8" spans="1:15" ht="15.5" thickTop="1" thickBot="1" x14ac:dyDescent="0.4">
      <c r="A8" s="24" t="s">
        <v>14</v>
      </c>
      <c r="B8" s="25"/>
      <c r="C8" s="26">
        <f>SUM(C9:C11)</f>
        <v>45781600</v>
      </c>
      <c r="D8" s="26">
        <f t="shared" ref="D8:N8" si="2">SUM(D9:D11)</f>
        <v>27872400</v>
      </c>
      <c r="E8" s="26">
        <f t="shared" si="2"/>
        <v>21266200</v>
      </c>
      <c r="F8" s="26">
        <f t="shared" si="2"/>
        <v>21950400</v>
      </c>
      <c r="G8" s="26">
        <f t="shared" si="2"/>
        <v>61337000</v>
      </c>
      <c r="H8" s="26">
        <f t="shared" si="2"/>
        <v>53225300</v>
      </c>
      <c r="I8" s="26">
        <f t="shared" si="2"/>
        <v>10599600</v>
      </c>
      <c r="J8" s="26">
        <f t="shared" si="2"/>
        <v>114086900</v>
      </c>
      <c r="K8" s="26">
        <f t="shared" si="2"/>
        <v>118657300</v>
      </c>
      <c r="L8" s="26">
        <f t="shared" si="2"/>
        <v>104451000</v>
      </c>
      <c r="M8" s="26">
        <f t="shared" si="2"/>
        <v>77002100</v>
      </c>
      <c r="N8" s="26">
        <f t="shared" si="2"/>
        <v>101725700</v>
      </c>
      <c r="O8" s="26">
        <f t="shared" si="1"/>
        <v>757955500</v>
      </c>
    </row>
    <row r="9" spans="1:15" ht="15.5" thickTop="1" thickBot="1" x14ac:dyDescent="0.4">
      <c r="A9" s="1"/>
      <c r="B9" s="19" t="s">
        <v>23</v>
      </c>
      <c r="C9" s="20">
        <v>21173900</v>
      </c>
      <c r="D9" s="20">
        <v>6774200</v>
      </c>
      <c r="E9" s="20">
        <v>1681900</v>
      </c>
      <c r="F9" s="20">
        <v>13075400</v>
      </c>
      <c r="G9" s="20">
        <v>3987100</v>
      </c>
      <c r="H9" s="20">
        <v>29901900</v>
      </c>
      <c r="I9" s="20">
        <v>1656100</v>
      </c>
      <c r="J9" s="20">
        <v>30905800</v>
      </c>
      <c r="K9" s="20">
        <v>69773000</v>
      </c>
      <c r="L9" s="20">
        <v>72588100</v>
      </c>
      <c r="M9" s="20">
        <v>25547700</v>
      </c>
      <c r="N9" s="20">
        <v>6744200</v>
      </c>
      <c r="O9" s="21">
        <f t="shared" si="1"/>
        <v>283809300</v>
      </c>
    </row>
    <row r="10" spans="1:15" ht="15" thickBot="1" x14ac:dyDescent="0.4">
      <c r="A10" s="1"/>
      <c r="B10" s="9" t="s">
        <v>24</v>
      </c>
      <c r="C10" s="10">
        <v>3377300</v>
      </c>
      <c r="D10" s="10">
        <v>18110800</v>
      </c>
      <c r="E10" s="10">
        <v>5200000</v>
      </c>
      <c r="F10" s="10">
        <v>728300</v>
      </c>
      <c r="G10" s="10">
        <v>39188300</v>
      </c>
      <c r="H10" s="10">
        <v>15650100</v>
      </c>
      <c r="I10" s="10">
        <v>6382100</v>
      </c>
      <c r="J10" s="10">
        <v>47928300</v>
      </c>
      <c r="K10" s="10">
        <v>23558600</v>
      </c>
      <c r="L10" s="10">
        <v>21329200</v>
      </c>
      <c r="M10" s="10">
        <v>39326800</v>
      </c>
      <c r="N10" s="10">
        <v>60238800</v>
      </c>
      <c r="O10" s="11">
        <f t="shared" si="1"/>
        <v>281018600</v>
      </c>
    </row>
    <row r="11" spans="1:15" ht="15" thickBot="1" x14ac:dyDescent="0.4">
      <c r="A11" s="1"/>
      <c r="B11" s="16" t="s">
        <v>25</v>
      </c>
      <c r="C11" s="17">
        <v>21230400</v>
      </c>
      <c r="D11" s="17">
        <v>2987400</v>
      </c>
      <c r="E11" s="17">
        <v>14384300</v>
      </c>
      <c r="F11" s="17">
        <v>8146700</v>
      </c>
      <c r="G11" s="17">
        <v>18161600</v>
      </c>
      <c r="H11" s="17">
        <v>7673300</v>
      </c>
      <c r="I11" s="17">
        <v>2561400</v>
      </c>
      <c r="J11" s="17">
        <v>35252800</v>
      </c>
      <c r="K11" s="17">
        <v>25325700</v>
      </c>
      <c r="L11" s="17">
        <v>10533700</v>
      </c>
      <c r="M11" s="17">
        <v>12127600</v>
      </c>
      <c r="N11" s="17">
        <v>34742700</v>
      </c>
      <c r="O11" s="18">
        <f t="shared" si="1"/>
        <v>193127600</v>
      </c>
    </row>
    <row r="12" spans="1:15" ht="15.5" thickTop="1" thickBot="1" x14ac:dyDescent="0.4">
      <c r="A12" s="24" t="s">
        <v>26</v>
      </c>
      <c r="B12" s="25"/>
      <c r="C12" s="26">
        <f>SUM(C13:C18)</f>
        <v>144870600</v>
      </c>
      <c r="D12" s="26">
        <f t="shared" ref="D12:N12" si="3">SUM(D13:D18)</f>
        <v>211378900</v>
      </c>
      <c r="E12" s="26">
        <f t="shared" si="3"/>
        <v>99907500</v>
      </c>
      <c r="F12" s="26">
        <f t="shared" si="3"/>
        <v>219043500</v>
      </c>
      <c r="G12" s="26">
        <f t="shared" si="3"/>
        <v>52171500</v>
      </c>
      <c r="H12" s="26">
        <f t="shared" si="3"/>
        <v>257997400</v>
      </c>
      <c r="I12" s="26">
        <f t="shared" si="3"/>
        <v>340892700</v>
      </c>
      <c r="J12" s="26">
        <f t="shared" si="3"/>
        <v>365583800</v>
      </c>
      <c r="K12" s="26">
        <f t="shared" si="3"/>
        <v>309149300</v>
      </c>
      <c r="L12" s="26">
        <f t="shared" si="3"/>
        <v>316577600</v>
      </c>
      <c r="M12" s="26">
        <f t="shared" si="3"/>
        <v>304315400</v>
      </c>
      <c r="N12" s="26">
        <f t="shared" si="3"/>
        <v>244760300</v>
      </c>
      <c r="O12" s="26">
        <f t="shared" si="1"/>
        <v>2866648500</v>
      </c>
    </row>
    <row r="13" spans="1:15" ht="15.5" thickTop="1" thickBot="1" x14ac:dyDescent="0.4">
      <c r="B13" s="19" t="s">
        <v>27</v>
      </c>
      <c r="C13" s="20">
        <v>4274800</v>
      </c>
      <c r="D13" s="20">
        <v>23694500</v>
      </c>
      <c r="E13" s="20">
        <v>15545900</v>
      </c>
      <c r="F13" s="20">
        <v>11236400</v>
      </c>
      <c r="G13" s="20">
        <v>2322900</v>
      </c>
      <c r="H13" s="20">
        <v>58677000</v>
      </c>
      <c r="I13" s="20">
        <v>29921400</v>
      </c>
      <c r="J13" s="20">
        <v>36690500</v>
      </c>
      <c r="K13" s="20">
        <v>83110900</v>
      </c>
      <c r="L13" s="20">
        <v>30701100</v>
      </c>
      <c r="M13" s="20">
        <v>24570400</v>
      </c>
      <c r="N13" s="20">
        <v>52913600</v>
      </c>
      <c r="O13" s="21">
        <f t="shared" si="1"/>
        <v>373659400</v>
      </c>
    </row>
    <row r="14" spans="1:15" ht="15" thickBot="1" x14ac:dyDescent="0.4">
      <c r="B14" s="9" t="s">
        <v>28</v>
      </c>
      <c r="C14" s="10">
        <v>6530800</v>
      </c>
      <c r="D14" s="10">
        <v>59317100</v>
      </c>
      <c r="E14" s="10">
        <v>19509200</v>
      </c>
      <c r="F14" s="10">
        <v>65519700</v>
      </c>
      <c r="G14" s="10">
        <v>1496400</v>
      </c>
      <c r="H14" s="10">
        <v>32833400</v>
      </c>
      <c r="I14" s="10">
        <v>88024800</v>
      </c>
      <c r="J14" s="10">
        <v>33651000</v>
      </c>
      <c r="K14" s="10">
        <v>58002800</v>
      </c>
      <c r="L14" s="10">
        <v>47558900</v>
      </c>
      <c r="M14" s="10">
        <v>56256300</v>
      </c>
      <c r="N14" s="10">
        <v>63644900</v>
      </c>
      <c r="O14" s="11">
        <f t="shared" si="1"/>
        <v>532345300</v>
      </c>
    </row>
    <row r="15" spans="1:15" ht="15" thickBot="1" x14ac:dyDescent="0.4">
      <c r="B15" s="9" t="s">
        <v>29</v>
      </c>
      <c r="C15" s="10">
        <v>42383500</v>
      </c>
      <c r="D15" s="10">
        <v>19739800</v>
      </c>
      <c r="E15" s="10">
        <v>15894400</v>
      </c>
      <c r="F15" s="10">
        <v>8440900</v>
      </c>
      <c r="G15" s="10">
        <v>9034800</v>
      </c>
      <c r="H15" s="10">
        <v>40368000</v>
      </c>
      <c r="I15" s="10">
        <v>45783600</v>
      </c>
      <c r="J15" s="10">
        <v>54465600</v>
      </c>
      <c r="K15" s="10">
        <v>60090400</v>
      </c>
      <c r="L15" s="10">
        <v>21450400</v>
      </c>
      <c r="M15" s="10">
        <v>36129700</v>
      </c>
      <c r="N15" s="10">
        <v>23952200</v>
      </c>
      <c r="O15" s="11">
        <f t="shared" si="1"/>
        <v>377733300</v>
      </c>
    </row>
    <row r="16" spans="1:15" ht="15" thickBot="1" x14ac:dyDescent="0.4">
      <c r="B16" s="9" t="s">
        <v>30</v>
      </c>
      <c r="C16" s="10">
        <v>21236000</v>
      </c>
      <c r="D16" s="10">
        <v>39301500</v>
      </c>
      <c r="E16" s="10">
        <v>4060300</v>
      </c>
      <c r="F16" s="10">
        <v>39161600</v>
      </c>
      <c r="G16" s="10">
        <v>10226100</v>
      </c>
      <c r="H16" s="10">
        <v>52338300</v>
      </c>
      <c r="I16" s="10">
        <v>58438200</v>
      </c>
      <c r="J16" s="10">
        <v>57242000</v>
      </c>
      <c r="K16" s="10">
        <v>59112400</v>
      </c>
      <c r="L16" s="10">
        <v>79844100</v>
      </c>
      <c r="M16" s="10">
        <v>57609600</v>
      </c>
      <c r="N16" s="10">
        <v>48005400</v>
      </c>
      <c r="O16" s="11">
        <f t="shared" si="1"/>
        <v>526575500</v>
      </c>
    </row>
    <row r="17" spans="1:15" ht="15" thickBot="1" x14ac:dyDescent="0.4">
      <c r="B17" s="9" t="s">
        <v>31</v>
      </c>
      <c r="C17" s="10">
        <v>35175200</v>
      </c>
      <c r="D17" s="10">
        <v>23406800</v>
      </c>
      <c r="E17" s="10">
        <v>22454600</v>
      </c>
      <c r="F17" s="10">
        <v>4732000</v>
      </c>
      <c r="G17" s="10">
        <v>22202800</v>
      </c>
      <c r="H17" s="10">
        <v>31183500</v>
      </c>
      <c r="I17" s="10">
        <v>24312200</v>
      </c>
      <c r="J17" s="10">
        <v>86732100</v>
      </c>
      <c r="K17" s="10">
        <v>35492200</v>
      </c>
      <c r="L17" s="10">
        <v>122568400</v>
      </c>
      <c r="M17" s="10">
        <v>75580500</v>
      </c>
      <c r="N17" s="10">
        <v>24406800</v>
      </c>
      <c r="O17" s="11">
        <f t="shared" si="1"/>
        <v>508247100</v>
      </c>
    </row>
    <row r="18" spans="1:15" ht="15" thickBot="1" x14ac:dyDescent="0.4">
      <c r="B18" s="16" t="s">
        <v>32</v>
      </c>
      <c r="C18" s="17">
        <v>35270300</v>
      </c>
      <c r="D18" s="17">
        <v>45919200</v>
      </c>
      <c r="E18" s="17">
        <v>22443100</v>
      </c>
      <c r="F18" s="17">
        <v>89952900</v>
      </c>
      <c r="G18" s="17">
        <v>6888500</v>
      </c>
      <c r="H18" s="17">
        <v>42597200</v>
      </c>
      <c r="I18" s="17">
        <v>94412500</v>
      </c>
      <c r="J18" s="17">
        <v>96802600</v>
      </c>
      <c r="K18" s="17">
        <v>13340600</v>
      </c>
      <c r="L18" s="17">
        <v>14454700</v>
      </c>
      <c r="M18" s="17">
        <v>54168900</v>
      </c>
      <c r="N18" s="17">
        <v>31837400</v>
      </c>
      <c r="O18" s="18">
        <f t="shared" si="1"/>
        <v>548087900</v>
      </c>
    </row>
    <row r="19" spans="1:15" ht="15.5" thickTop="1" thickBot="1" x14ac:dyDescent="0.4">
      <c r="A19" s="24" t="s">
        <v>33</v>
      </c>
      <c r="B19" s="25"/>
      <c r="C19" s="26">
        <f>SUM(C20:C22)</f>
        <v>23196100</v>
      </c>
      <c r="D19" s="26">
        <f t="shared" ref="D19:N19" si="4">SUM(D20:D22)</f>
        <v>101371700</v>
      </c>
      <c r="E19" s="26">
        <f t="shared" si="4"/>
        <v>32374100</v>
      </c>
      <c r="F19" s="26">
        <f t="shared" si="4"/>
        <v>33407900</v>
      </c>
      <c r="G19" s="26">
        <f t="shared" si="4"/>
        <v>6519500</v>
      </c>
      <c r="H19" s="26">
        <f t="shared" si="4"/>
        <v>105409000</v>
      </c>
      <c r="I19" s="26">
        <f t="shared" si="4"/>
        <v>50761000</v>
      </c>
      <c r="J19" s="26">
        <f t="shared" si="4"/>
        <v>40685600</v>
      </c>
      <c r="K19" s="26">
        <f t="shared" si="4"/>
        <v>27076700</v>
      </c>
      <c r="L19" s="26">
        <f t="shared" si="4"/>
        <v>56538200</v>
      </c>
      <c r="M19" s="26">
        <f t="shared" si="4"/>
        <v>59409800</v>
      </c>
      <c r="N19" s="26">
        <f t="shared" si="4"/>
        <v>94995100</v>
      </c>
      <c r="O19" s="26">
        <f t="shared" si="1"/>
        <v>631744700</v>
      </c>
    </row>
    <row r="20" spans="1:15" ht="14.5" customHeight="1" thickTop="1" thickBot="1" x14ac:dyDescent="0.4">
      <c r="B20" s="19" t="s">
        <v>34</v>
      </c>
      <c r="C20" s="20">
        <v>11188700</v>
      </c>
      <c r="D20" s="20">
        <v>814200</v>
      </c>
      <c r="E20" s="20">
        <v>13942700</v>
      </c>
      <c r="F20" s="20">
        <v>8427400</v>
      </c>
      <c r="G20" s="20">
        <v>1232800</v>
      </c>
      <c r="H20" s="20">
        <v>22342200</v>
      </c>
      <c r="I20" s="20">
        <v>3867400</v>
      </c>
      <c r="J20" s="20">
        <v>10811000</v>
      </c>
      <c r="K20" s="20">
        <v>12624600</v>
      </c>
      <c r="L20" s="20">
        <v>5950000</v>
      </c>
      <c r="M20" s="20">
        <v>46463600</v>
      </c>
      <c r="N20" s="20">
        <v>68802500</v>
      </c>
      <c r="O20" s="21">
        <f t="shared" si="1"/>
        <v>206467100</v>
      </c>
    </row>
    <row r="21" spans="1:15" ht="15" thickBot="1" x14ac:dyDescent="0.4">
      <c r="B21" s="9" t="s">
        <v>35</v>
      </c>
      <c r="C21" s="10">
        <v>6813600</v>
      </c>
      <c r="D21" s="10">
        <v>70443800</v>
      </c>
      <c r="E21" s="10">
        <v>4591700</v>
      </c>
      <c r="F21" s="10">
        <v>15185500</v>
      </c>
      <c r="G21" s="10">
        <v>625300</v>
      </c>
      <c r="H21" s="10">
        <v>12918900</v>
      </c>
      <c r="I21" s="10">
        <v>35692000</v>
      </c>
      <c r="J21" s="10">
        <v>15979200</v>
      </c>
      <c r="K21" s="10">
        <v>8042100</v>
      </c>
      <c r="L21" s="10">
        <v>40101600</v>
      </c>
      <c r="M21" s="10">
        <v>7519000</v>
      </c>
      <c r="N21" s="10">
        <v>7434300</v>
      </c>
      <c r="O21" s="11">
        <f t="shared" si="1"/>
        <v>225347000</v>
      </c>
    </row>
    <row r="22" spans="1:15" ht="15" thickBot="1" x14ac:dyDescent="0.4">
      <c r="B22" s="16" t="s">
        <v>64</v>
      </c>
      <c r="C22" s="17">
        <v>5193800</v>
      </c>
      <c r="D22" s="17">
        <v>30113700</v>
      </c>
      <c r="E22" s="17">
        <v>13839700</v>
      </c>
      <c r="F22" s="17">
        <v>9795000</v>
      </c>
      <c r="G22" s="17">
        <v>4661400</v>
      </c>
      <c r="H22" s="17">
        <v>70147900</v>
      </c>
      <c r="I22" s="17">
        <v>11201600</v>
      </c>
      <c r="J22" s="17">
        <v>13895400</v>
      </c>
      <c r="K22" s="17">
        <v>6410000</v>
      </c>
      <c r="L22" s="17">
        <v>10486600</v>
      </c>
      <c r="M22" s="17">
        <v>5427200</v>
      </c>
      <c r="N22" s="17">
        <v>18758300</v>
      </c>
      <c r="O22" s="18">
        <f t="shared" si="1"/>
        <v>199930600</v>
      </c>
    </row>
    <row r="23" spans="1:15" ht="15.5" thickTop="1" thickBot="1" x14ac:dyDescent="0.4">
      <c r="A23" s="24" t="s">
        <v>36</v>
      </c>
      <c r="B23" s="25"/>
      <c r="C23" s="26">
        <f>SUM(C24:C27)</f>
        <v>67428800</v>
      </c>
      <c r="D23" s="26">
        <f t="shared" ref="D23:N23" si="5">SUM(D24:D27)</f>
        <v>72268600</v>
      </c>
      <c r="E23" s="26">
        <f t="shared" si="5"/>
        <v>104543200</v>
      </c>
      <c r="F23" s="26">
        <f t="shared" si="5"/>
        <v>46547100</v>
      </c>
      <c r="G23" s="26">
        <f t="shared" si="5"/>
        <v>121875900</v>
      </c>
      <c r="H23" s="26">
        <f t="shared" si="5"/>
        <v>170715100</v>
      </c>
      <c r="I23" s="26">
        <f t="shared" si="5"/>
        <v>127969000</v>
      </c>
      <c r="J23" s="26">
        <f t="shared" si="5"/>
        <v>49060700</v>
      </c>
      <c r="K23" s="26">
        <f t="shared" si="5"/>
        <v>69905300</v>
      </c>
      <c r="L23" s="26">
        <f t="shared" si="5"/>
        <v>59629700</v>
      </c>
      <c r="M23" s="26">
        <f t="shared" si="5"/>
        <v>120245500</v>
      </c>
      <c r="N23" s="26">
        <f t="shared" si="5"/>
        <v>131991700</v>
      </c>
      <c r="O23" s="26">
        <f t="shared" si="1"/>
        <v>1142180600</v>
      </c>
    </row>
    <row r="24" spans="1:15" ht="15.5" thickTop="1" thickBot="1" x14ac:dyDescent="0.4">
      <c r="B24" s="19" t="s">
        <v>37</v>
      </c>
      <c r="C24" s="20">
        <v>14241100</v>
      </c>
      <c r="D24" s="20">
        <v>27761100</v>
      </c>
      <c r="E24" s="20">
        <v>45206400</v>
      </c>
      <c r="F24" s="20">
        <v>15018400</v>
      </c>
      <c r="G24" s="20">
        <v>3899100</v>
      </c>
      <c r="H24" s="20">
        <v>19339500</v>
      </c>
      <c r="I24" s="20">
        <v>26380400</v>
      </c>
      <c r="J24" s="20">
        <v>24619300</v>
      </c>
      <c r="K24" s="20">
        <v>6597500</v>
      </c>
      <c r="L24" s="20">
        <v>16102900</v>
      </c>
      <c r="M24" s="20">
        <v>9484200</v>
      </c>
      <c r="N24" s="20">
        <v>20835700</v>
      </c>
      <c r="O24" s="21">
        <f t="shared" si="1"/>
        <v>229485600</v>
      </c>
    </row>
    <row r="25" spans="1:15" ht="15" thickBot="1" x14ac:dyDescent="0.4">
      <c r="B25" s="9" t="s">
        <v>38</v>
      </c>
      <c r="C25" s="10">
        <v>23631400</v>
      </c>
      <c r="D25" s="10">
        <v>17464200</v>
      </c>
      <c r="E25" s="10">
        <v>11750700</v>
      </c>
      <c r="F25" s="10">
        <v>4425600</v>
      </c>
      <c r="G25" s="10">
        <v>22393000</v>
      </c>
      <c r="H25" s="10">
        <v>35490300</v>
      </c>
      <c r="I25" s="10">
        <v>25796200</v>
      </c>
      <c r="J25" s="10">
        <v>15559400</v>
      </c>
      <c r="K25" s="10">
        <v>33044000</v>
      </c>
      <c r="L25" s="10">
        <v>16634500</v>
      </c>
      <c r="M25" s="10">
        <v>26365600</v>
      </c>
      <c r="N25" s="10">
        <v>31089900</v>
      </c>
      <c r="O25" s="11">
        <f t="shared" si="1"/>
        <v>263644800</v>
      </c>
    </row>
    <row r="26" spans="1:15" ht="15" thickBot="1" x14ac:dyDescent="0.4">
      <c r="B26" s="9" t="s">
        <v>39</v>
      </c>
      <c r="C26" s="10">
        <v>9354400</v>
      </c>
      <c r="D26" s="10">
        <v>15477200</v>
      </c>
      <c r="E26" s="10">
        <v>2986200</v>
      </c>
      <c r="F26" s="10">
        <v>4823100</v>
      </c>
      <c r="G26" s="10">
        <v>46038000</v>
      </c>
      <c r="H26" s="10">
        <v>40009600</v>
      </c>
      <c r="I26" s="10">
        <v>56145300</v>
      </c>
      <c r="J26" s="10">
        <v>7378700</v>
      </c>
      <c r="K26" s="10">
        <v>18845500</v>
      </c>
      <c r="L26" s="10">
        <v>15089500</v>
      </c>
      <c r="M26" s="10">
        <v>29539000</v>
      </c>
      <c r="N26" s="10">
        <v>50502800</v>
      </c>
      <c r="O26" s="11">
        <f t="shared" si="1"/>
        <v>296189300</v>
      </c>
    </row>
    <row r="27" spans="1:15" ht="15" thickBot="1" x14ac:dyDescent="0.4">
      <c r="B27" s="16" t="s">
        <v>40</v>
      </c>
      <c r="C27" s="17">
        <v>20201900</v>
      </c>
      <c r="D27" s="17">
        <v>11566100</v>
      </c>
      <c r="E27" s="17">
        <v>44599900</v>
      </c>
      <c r="F27" s="17">
        <v>22280000</v>
      </c>
      <c r="G27" s="17">
        <v>49545800</v>
      </c>
      <c r="H27" s="17">
        <v>75875700</v>
      </c>
      <c r="I27" s="17">
        <v>19647100</v>
      </c>
      <c r="J27" s="17">
        <v>1503300</v>
      </c>
      <c r="K27" s="17">
        <v>11418300</v>
      </c>
      <c r="L27" s="17">
        <v>11802800</v>
      </c>
      <c r="M27" s="17">
        <v>54856700</v>
      </c>
      <c r="N27" s="17">
        <v>29563300</v>
      </c>
      <c r="O27" s="18">
        <f t="shared" si="1"/>
        <v>352860900</v>
      </c>
    </row>
    <row r="28" spans="1:15" ht="15.5" thickTop="1" thickBot="1" x14ac:dyDescent="0.4">
      <c r="A28" s="24" t="s">
        <v>41</v>
      </c>
      <c r="B28" s="25"/>
      <c r="C28" s="26">
        <f>SUM(C29:C32)</f>
        <v>69186400</v>
      </c>
      <c r="D28" s="26">
        <f t="shared" ref="D28:N28" si="6">SUM(D29:D32)</f>
        <v>39638200</v>
      </c>
      <c r="E28" s="26">
        <f t="shared" si="6"/>
        <v>82096200</v>
      </c>
      <c r="F28" s="26">
        <f t="shared" si="6"/>
        <v>36470600</v>
      </c>
      <c r="G28" s="26">
        <f t="shared" si="6"/>
        <v>43970600</v>
      </c>
      <c r="H28" s="26">
        <f t="shared" si="6"/>
        <v>117795600</v>
      </c>
      <c r="I28" s="26">
        <f t="shared" si="6"/>
        <v>90559600</v>
      </c>
      <c r="J28" s="26">
        <f t="shared" si="6"/>
        <v>127876100</v>
      </c>
      <c r="K28" s="26">
        <f t="shared" si="6"/>
        <v>72652300</v>
      </c>
      <c r="L28" s="26">
        <f t="shared" si="6"/>
        <v>99121600</v>
      </c>
      <c r="M28" s="26">
        <f t="shared" si="6"/>
        <v>51438900</v>
      </c>
      <c r="N28" s="26">
        <f t="shared" si="6"/>
        <v>64771500</v>
      </c>
      <c r="O28" s="26">
        <f t="shared" si="1"/>
        <v>895577600</v>
      </c>
    </row>
    <row r="29" spans="1:15" ht="15.5" thickTop="1" thickBot="1" x14ac:dyDescent="0.4">
      <c r="B29" s="19" t="s">
        <v>42</v>
      </c>
      <c r="C29" s="20">
        <v>53386900</v>
      </c>
      <c r="D29" s="20">
        <v>2683200</v>
      </c>
      <c r="E29" s="20">
        <v>14166700</v>
      </c>
      <c r="F29" s="20">
        <v>5951200</v>
      </c>
      <c r="G29" s="20">
        <v>5581500</v>
      </c>
      <c r="H29" s="20">
        <v>1684300</v>
      </c>
      <c r="I29" s="20">
        <v>33654300</v>
      </c>
      <c r="J29" s="20">
        <v>31014900</v>
      </c>
      <c r="K29" s="20">
        <v>1271700</v>
      </c>
      <c r="L29" s="20">
        <v>52237000</v>
      </c>
      <c r="M29" s="20">
        <v>7120000</v>
      </c>
      <c r="N29" s="20">
        <v>13185800</v>
      </c>
      <c r="O29" s="21">
        <f t="shared" si="1"/>
        <v>221937500</v>
      </c>
    </row>
    <row r="30" spans="1:15" ht="15" thickBot="1" x14ac:dyDescent="0.4">
      <c r="B30" s="9" t="s">
        <v>43</v>
      </c>
      <c r="C30" s="10">
        <v>3162200</v>
      </c>
      <c r="D30" s="10">
        <v>9062300</v>
      </c>
      <c r="E30" s="10">
        <v>5759000</v>
      </c>
      <c r="F30" s="10">
        <v>4141200</v>
      </c>
      <c r="G30" s="10">
        <v>7832700</v>
      </c>
      <c r="H30" s="10">
        <v>56014600</v>
      </c>
      <c r="I30" s="10">
        <v>4388400</v>
      </c>
      <c r="J30" s="10">
        <v>53043400</v>
      </c>
      <c r="K30" s="10">
        <v>28174800</v>
      </c>
      <c r="L30" s="10">
        <v>37810700</v>
      </c>
      <c r="M30" s="10">
        <v>11462800</v>
      </c>
      <c r="N30" s="10">
        <v>8670900</v>
      </c>
      <c r="O30" s="11">
        <f t="shared" si="1"/>
        <v>229523000</v>
      </c>
    </row>
    <row r="31" spans="1:15" ht="15" thickBot="1" x14ac:dyDescent="0.4">
      <c r="B31" s="9" t="s">
        <v>44</v>
      </c>
      <c r="C31" s="10">
        <v>1055000</v>
      </c>
      <c r="D31" s="10">
        <v>21618900</v>
      </c>
      <c r="E31" s="10">
        <v>1175800</v>
      </c>
      <c r="F31" s="10">
        <v>12223100</v>
      </c>
      <c r="G31" s="10">
        <v>21252400</v>
      </c>
      <c r="H31" s="10">
        <v>42679600</v>
      </c>
      <c r="I31" s="10">
        <v>12180400</v>
      </c>
      <c r="J31" s="10">
        <v>28235200</v>
      </c>
      <c r="K31" s="10">
        <v>3313000</v>
      </c>
      <c r="L31" s="10">
        <v>7778300</v>
      </c>
      <c r="M31" s="10">
        <v>30519400</v>
      </c>
      <c r="N31" s="10">
        <v>20659100</v>
      </c>
      <c r="O31" s="11">
        <f t="shared" si="1"/>
        <v>202690200</v>
      </c>
    </row>
    <row r="32" spans="1:15" ht="15" thickBot="1" x14ac:dyDescent="0.4">
      <c r="B32" s="16" t="s">
        <v>45</v>
      </c>
      <c r="C32" s="17">
        <v>11582300</v>
      </c>
      <c r="D32" s="17">
        <v>6273800</v>
      </c>
      <c r="E32" s="17">
        <v>60994700</v>
      </c>
      <c r="F32" s="17">
        <v>14155100</v>
      </c>
      <c r="G32" s="17">
        <v>9304000</v>
      </c>
      <c r="H32" s="17">
        <v>17417100</v>
      </c>
      <c r="I32" s="17">
        <v>40336500</v>
      </c>
      <c r="J32" s="17">
        <v>15582600</v>
      </c>
      <c r="K32" s="17">
        <v>39892800</v>
      </c>
      <c r="L32" s="17">
        <v>1295600</v>
      </c>
      <c r="M32" s="17">
        <v>2336700</v>
      </c>
      <c r="N32" s="17">
        <v>22255700</v>
      </c>
      <c r="O32" s="18">
        <f t="shared" si="1"/>
        <v>241426900</v>
      </c>
    </row>
    <row r="33" spans="1:15" ht="15.5" thickTop="1" thickBot="1" x14ac:dyDescent="0.4">
      <c r="A33" s="24" t="s">
        <v>46</v>
      </c>
      <c r="B33" s="25"/>
      <c r="C33" s="26">
        <f>SUM(C34:C36)</f>
        <v>47546300</v>
      </c>
      <c r="D33" s="26">
        <f t="shared" ref="D33:N33" si="7">SUM(D34:D36)</f>
        <v>32098100</v>
      </c>
      <c r="E33" s="26">
        <f t="shared" si="7"/>
        <v>14183200</v>
      </c>
      <c r="F33" s="26">
        <f t="shared" si="7"/>
        <v>24472900</v>
      </c>
      <c r="G33" s="26">
        <f t="shared" si="7"/>
        <v>10489800</v>
      </c>
      <c r="H33" s="26">
        <f t="shared" si="7"/>
        <v>23352400</v>
      </c>
      <c r="I33" s="26">
        <f t="shared" si="7"/>
        <v>12876400</v>
      </c>
      <c r="J33" s="26">
        <f t="shared" si="7"/>
        <v>55038100</v>
      </c>
      <c r="K33" s="26">
        <f t="shared" si="7"/>
        <v>36601400</v>
      </c>
      <c r="L33" s="26">
        <f t="shared" si="7"/>
        <v>38992000</v>
      </c>
      <c r="M33" s="26">
        <f t="shared" si="7"/>
        <v>47618400</v>
      </c>
      <c r="N33" s="26">
        <f t="shared" si="7"/>
        <v>9550600</v>
      </c>
      <c r="O33" s="26">
        <f t="shared" si="1"/>
        <v>352819600</v>
      </c>
    </row>
    <row r="34" spans="1:15" ht="15.5" thickTop="1" thickBot="1" x14ac:dyDescent="0.4">
      <c r="A34" s="1"/>
      <c r="B34" s="19" t="s">
        <v>47</v>
      </c>
      <c r="C34" s="20">
        <v>23025500</v>
      </c>
      <c r="D34" s="20">
        <v>8543600</v>
      </c>
      <c r="E34" s="20">
        <v>13373700</v>
      </c>
      <c r="F34" s="20">
        <v>21519000</v>
      </c>
      <c r="G34" s="20">
        <v>585400</v>
      </c>
      <c r="H34" s="20">
        <v>4732300</v>
      </c>
      <c r="I34" s="20">
        <v>9113400</v>
      </c>
      <c r="J34" s="20">
        <v>9539600</v>
      </c>
      <c r="K34" s="20">
        <v>3804800</v>
      </c>
      <c r="L34" s="20">
        <v>252200</v>
      </c>
      <c r="M34" s="20">
        <v>620000</v>
      </c>
      <c r="N34" s="20">
        <v>5218500</v>
      </c>
      <c r="O34" s="21">
        <f t="shared" si="1"/>
        <v>100328000</v>
      </c>
    </row>
    <row r="35" spans="1:15" ht="15" thickBot="1" x14ac:dyDescent="0.4">
      <c r="A35" s="1"/>
      <c r="B35" s="9" t="s">
        <v>48</v>
      </c>
      <c r="C35" s="10">
        <v>6942000</v>
      </c>
      <c r="D35" s="10">
        <v>10698700</v>
      </c>
      <c r="E35" s="10">
        <v>476500</v>
      </c>
      <c r="F35" s="10">
        <v>1548100</v>
      </c>
      <c r="G35" s="10">
        <v>484100</v>
      </c>
      <c r="H35" s="10">
        <v>12217300</v>
      </c>
      <c r="I35" s="10">
        <v>3513000</v>
      </c>
      <c r="J35" s="10">
        <v>19765000</v>
      </c>
      <c r="K35" s="10">
        <v>23029000</v>
      </c>
      <c r="L35" s="10">
        <v>10038000</v>
      </c>
      <c r="M35" s="10">
        <v>39344900</v>
      </c>
      <c r="N35" s="10">
        <v>3688600</v>
      </c>
      <c r="O35" s="11">
        <f t="shared" si="1"/>
        <v>131745200</v>
      </c>
    </row>
    <row r="36" spans="1:15" ht="15" thickBot="1" x14ac:dyDescent="0.4">
      <c r="A36" s="1"/>
      <c r="B36" s="16" t="s">
        <v>49</v>
      </c>
      <c r="C36" s="17">
        <v>17578800</v>
      </c>
      <c r="D36" s="17">
        <v>12855800</v>
      </c>
      <c r="E36" s="17">
        <v>333000</v>
      </c>
      <c r="F36" s="17">
        <v>1405800</v>
      </c>
      <c r="G36" s="17">
        <v>9420300</v>
      </c>
      <c r="H36" s="17">
        <v>6402800</v>
      </c>
      <c r="I36" s="17">
        <v>250000</v>
      </c>
      <c r="J36" s="17">
        <v>25733500</v>
      </c>
      <c r="K36" s="17">
        <v>9767600</v>
      </c>
      <c r="L36" s="17">
        <v>28701800</v>
      </c>
      <c r="M36" s="17">
        <v>7653500</v>
      </c>
      <c r="N36" s="17">
        <v>643500</v>
      </c>
      <c r="O36" s="18">
        <f t="shared" si="1"/>
        <v>120746400</v>
      </c>
    </row>
    <row r="37" spans="1:15" ht="15.5" thickTop="1" thickBot="1" x14ac:dyDescent="0.4">
      <c r="A37" s="24" t="s">
        <v>50</v>
      </c>
      <c r="B37" s="25"/>
      <c r="C37" s="26">
        <f>C38</f>
        <v>0</v>
      </c>
      <c r="D37" s="26">
        <f t="shared" ref="D37:N37" si="8">D38</f>
        <v>0</v>
      </c>
      <c r="E37" s="26">
        <f t="shared" si="8"/>
        <v>0</v>
      </c>
      <c r="F37" s="26">
        <f t="shared" si="8"/>
        <v>0</v>
      </c>
      <c r="G37" s="26">
        <f t="shared" si="8"/>
        <v>0</v>
      </c>
      <c r="H37" s="26">
        <f t="shared" si="8"/>
        <v>0</v>
      </c>
      <c r="I37" s="26">
        <f t="shared" si="8"/>
        <v>0</v>
      </c>
      <c r="J37" s="26">
        <f t="shared" si="8"/>
        <v>16250000</v>
      </c>
      <c r="K37" s="26">
        <f t="shared" si="8"/>
        <v>0</v>
      </c>
      <c r="L37" s="26">
        <f t="shared" si="8"/>
        <v>0</v>
      </c>
      <c r="M37" s="26">
        <f t="shared" si="8"/>
        <v>2850900</v>
      </c>
      <c r="N37" s="26">
        <f t="shared" si="8"/>
        <v>0</v>
      </c>
      <c r="O37" s="26">
        <f t="shared" si="1"/>
        <v>19100900</v>
      </c>
    </row>
    <row r="38" spans="1:15" ht="15.5" thickTop="1" thickBot="1" x14ac:dyDescent="0.4">
      <c r="A38" s="1"/>
      <c r="B38" t="s">
        <v>51</v>
      </c>
      <c r="C38" s="22">
        <v>0</v>
      </c>
      <c r="D38" s="22">
        <v>0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16250000</v>
      </c>
      <c r="K38" s="22">
        <v>0</v>
      </c>
      <c r="L38" s="22">
        <v>0</v>
      </c>
      <c r="M38" s="22">
        <v>2850900</v>
      </c>
      <c r="N38" s="22">
        <v>0</v>
      </c>
      <c r="O38" s="23">
        <f t="shared" si="1"/>
        <v>19100900</v>
      </c>
    </row>
    <row r="39" spans="1:15" ht="15.5" thickTop="1" thickBot="1" x14ac:dyDescent="0.4">
      <c r="A39" s="24" t="s">
        <v>52</v>
      </c>
      <c r="B39" s="25"/>
      <c r="C39" s="26">
        <f>C40</f>
        <v>0</v>
      </c>
      <c r="D39" s="26">
        <f t="shared" ref="D39:N39" si="9">D40</f>
        <v>0</v>
      </c>
      <c r="E39" s="26">
        <f t="shared" si="9"/>
        <v>0</v>
      </c>
      <c r="F39" s="26">
        <f t="shared" si="9"/>
        <v>0</v>
      </c>
      <c r="G39" s="26">
        <f t="shared" si="9"/>
        <v>0</v>
      </c>
      <c r="H39" s="26">
        <f t="shared" si="9"/>
        <v>0</v>
      </c>
      <c r="I39" s="26">
        <f t="shared" si="9"/>
        <v>0</v>
      </c>
      <c r="J39" s="26">
        <f t="shared" si="9"/>
        <v>0</v>
      </c>
      <c r="K39" s="26">
        <f t="shared" si="9"/>
        <v>0</v>
      </c>
      <c r="L39" s="26">
        <f t="shared" si="9"/>
        <v>0</v>
      </c>
      <c r="M39" s="26">
        <f t="shared" si="9"/>
        <v>8863700</v>
      </c>
      <c r="N39" s="26">
        <f t="shared" si="9"/>
        <v>0</v>
      </c>
      <c r="O39" s="26">
        <f t="shared" si="1"/>
        <v>8863700</v>
      </c>
    </row>
    <row r="40" spans="1:15" ht="15.5" thickTop="1" thickBot="1" x14ac:dyDescent="0.4">
      <c r="A40" s="1"/>
      <c r="B40" t="s">
        <v>53</v>
      </c>
      <c r="C40" s="22">
        <v>0</v>
      </c>
      <c r="D40" s="22">
        <v>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8863700</v>
      </c>
      <c r="N40" s="22">
        <v>0</v>
      </c>
      <c r="O40" s="23">
        <f t="shared" si="1"/>
        <v>8863700</v>
      </c>
    </row>
    <row r="41" spans="1:15" ht="15.5" thickTop="1" thickBot="1" x14ac:dyDescent="0.4">
      <c r="A41" s="24" t="s">
        <v>54</v>
      </c>
      <c r="B41" s="25"/>
      <c r="C41" s="26">
        <f>SUM(C42:C43)</f>
        <v>190400</v>
      </c>
      <c r="D41" s="26">
        <f t="shared" ref="D41:N41" si="10">SUM(D42:D43)</f>
        <v>0</v>
      </c>
      <c r="E41" s="26">
        <f t="shared" si="10"/>
        <v>0</v>
      </c>
      <c r="F41" s="26">
        <f t="shared" si="10"/>
        <v>0</v>
      </c>
      <c r="G41" s="26">
        <f t="shared" si="10"/>
        <v>0</v>
      </c>
      <c r="H41" s="26">
        <f t="shared" si="10"/>
        <v>111100</v>
      </c>
      <c r="I41" s="26">
        <f t="shared" si="10"/>
        <v>0</v>
      </c>
      <c r="J41" s="26">
        <f t="shared" si="10"/>
        <v>0</v>
      </c>
      <c r="K41" s="26">
        <f t="shared" si="10"/>
        <v>0</v>
      </c>
      <c r="L41" s="26">
        <f t="shared" si="10"/>
        <v>0</v>
      </c>
      <c r="M41" s="26">
        <f t="shared" si="10"/>
        <v>254400</v>
      </c>
      <c r="N41" s="26">
        <f t="shared" si="10"/>
        <v>0</v>
      </c>
      <c r="O41" s="26">
        <f t="shared" si="1"/>
        <v>555900</v>
      </c>
    </row>
    <row r="42" spans="1:15" ht="15.5" thickTop="1" thickBot="1" x14ac:dyDescent="0.4">
      <c r="A42" s="1"/>
      <c r="B42" s="19" t="s">
        <v>55</v>
      </c>
      <c r="C42" s="20">
        <v>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254400</v>
      </c>
      <c r="N42" s="20">
        <v>0</v>
      </c>
      <c r="O42" s="21">
        <f t="shared" si="1"/>
        <v>254400</v>
      </c>
    </row>
    <row r="43" spans="1:15" ht="15" thickBot="1" x14ac:dyDescent="0.4">
      <c r="A43" s="1"/>
      <c r="B43" s="9" t="s">
        <v>56</v>
      </c>
      <c r="C43" s="10">
        <v>190400</v>
      </c>
      <c r="D43" s="10">
        <v>0</v>
      </c>
      <c r="E43" s="10">
        <v>0</v>
      </c>
      <c r="F43" s="10">
        <v>0</v>
      </c>
      <c r="G43" s="10">
        <v>0</v>
      </c>
      <c r="H43" s="10">
        <v>111100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1">
        <f t="shared" si="1"/>
        <v>301500</v>
      </c>
    </row>
    <row r="44" spans="1:15" ht="15" thickBot="1" x14ac:dyDescent="0.4">
      <c r="A44" s="7" t="s">
        <v>61</v>
      </c>
      <c r="B44" s="12"/>
      <c r="C44" s="13">
        <f>C5+C8+C12+C19+C23+C28+C33+C37+C39+C41</f>
        <v>476327500</v>
      </c>
      <c r="D44" s="13">
        <f t="shared" ref="D44:N44" si="11">D5+D8+D12+D19+D23+D28+D33+D37+D39+D41</f>
        <v>532947000</v>
      </c>
      <c r="E44" s="13">
        <f t="shared" si="11"/>
        <v>374004400</v>
      </c>
      <c r="F44" s="13">
        <f t="shared" si="11"/>
        <v>439860500</v>
      </c>
      <c r="G44" s="13">
        <f t="shared" si="11"/>
        <v>393953300</v>
      </c>
      <c r="H44" s="13">
        <f t="shared" si="11"/>
        <v>817188400</v>
      </c>
      <c r="I44" s="13">
        <f t="shared" si="11"/>
        <v>753615000</v>
      </c>
      <c r="J44" s="13">
        <f t="shared" si="11"/>
        <v>849787500</v>
      </c>
      <c r="K44" s="13">
        <f t="shared" si="11"/>
        <v>701201600</v>
      </c>
      <c r="L44" s="13">
        <f t="shared" si="11"/>
        <v>734320300</v>
      </c>
      <c r="M44" s="13">
        <f t="shared" si="11"/>
        <v>736308400</v>
      </c>
      <c r="N44" s="13">
        <f t="shared" si="11"/>
        <v>746854100</v>
      </c>
      <c r="O44" s="13">
        <f t="shared" si="1"/>
        <v>7556368000</v>
      </c>
    </row>
    <row r="45" spans="1:15" x14ac:dyDescent="0.35">
      <c r="A45" s="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24D49-E3EF-4D5E-ABF2-FB7C53852E7F}">
  <dimension ref="A1:O44"/>
  <sheetViews>
    <sheetView showGridLines="0" zoomScaleNormal="100" workbookViewId="0">
      <selection activeCell="B22" sqref="B22"/>
    </sheetView>
  </sheetViews>
  <sheetFormatPr defaultRowHeight="14.5" x14ac:dyDescent="0.35"/>
  <cols>
    <col min="1" max="1" width="2.81640625" customWidth="1"/>
    <col min="2" max="2" width="37.453125" bestFit="1" customWidth="1"/>
    <col min="3" max="14" width="14.26953125" customWidth="1"/>
    <col min="15" max="15" width="15.81640625" bestFit="1" customWidth="1"/>
    <col min="16" max="27" width="9.7265625" bestFit="1" customWidth="1"/>
    <col min="28" max="28" width="10.7265625" bestFit="1" customWidth="1"/>
    <col min="29" max="40" width="9.7265625" bestFit="1" customWidth="1"/>
    <col min="41" max="41" width="10.7265625" bestFit="1" customWidth="1"/>
  </cols>
  <sheetData>
    <row r="1" spans="1:15" ht="19" customHeight="1" x14ac:dyDescent="0.35">
      <c r="A1" s="3"/>
      <c r="B1" s="6" t="s">
        <v>57</v>
      </c>
      <c r="C1" s="6"/>
      <c r="D1" s="6"/>
      <c r="E1" s="6"/>
      <c r="F1" s="6"/>
      <c r="G1" s="6"/>
      <c r="H1" s="6"/>
      <c r="I1" s="6"/>
      <c r="J1" s="6"/>
      <c r="K1" s="6"/>
      <c r="L1" s="6"/>
      <c r="M1" s="5"/>
      <c r="N1" s="5"/>
      <c r="O1" s="5"/>
    </row>
    <row r="2" spans="1:15" ht="16.149999999999999" customHeight="1" x14ac:dyDescent="0.35">
      <c r="A2" s="3"/>
      <c r="B2" s="4" t="s">
        <v>62</v>
      </c>
      <c r="C2" s="4"/>
      <c r="D2" s="4"/>
      <c r="E2" s="4"/>
      <c r="F2" s="4"/>
      <c r="G2" s="4"/>
      <c r="H2" s="4"/>
      <c r="I2" s="4"/>
      <c r="J2" s="4"/>
      <c r="K2" s="4"/>
      <c r="L2" s="4"/>
      <c r="M2" s="3"/>
      <c r="N2" s="3"/>
      <c r="O2" s="27" t="s">
        <v>2</v>
      </c>
    </row>
    <row r="3" spans="1:15" ht="10.15" customHeight="1" x14ac:dyDescent="0.35"/>
    <row r="4" spans="1:15" ht="15" thickBot="1" x14ac:dyDescent="0.4">
      <c r="A4" s="14" t="s">
        <v>59</v>
      </c>
      <c r="B4" s="8"/>
      <c r="C4" s="15">
        <v>43831</v>
      </c>
      <c r="D4" s="15">
        <v>43862</v>
      </c>
      <c r="E4" s="15">
        <v>43891</v>
      </c>
      <c r="F4" s="15">
        <v>43922</v>
      </c>
      <c r="G4" s="15">
        <v>43952</v>
      </c>
      <c r="H4" s="15">
        <v>43983</v>
      </c>
      <c r="I4" s="15">
        <v>44013</v>
      </c>
      <c r="J4" s="15">
        <v>44044</v>
      </c>
      <c r="K4" s="15">
        <v>44075</v>
      </c>
      <c r="L4" s="15">
        <v>44105</v>
      </c>
      <c r="M4" s="15">
        <v>44136</v>
      </c>
      <c r="N4" s="15">
        <v>44166</v>
      </c>
      <c r="O4" s="8" t="s">
        <v>63</v>
      </c>
    </row>
    <row r="5" spans="1:15" ht="15.5" thickTop="1" thickBot="1" x14ac:dyDescent="0.4">
      <c r="A5" s="24" t="s">
        <v>7</v>
      </c>
      <c r="B5" s="25"/>
      <c r="C5" s="26">
        <f>SUM(C6:C7)</f>
        <v>33449700</v>
      </c>
      <c r="D5" s="26">
        <f t="shared" ref="D5:N5" si="0">SUM(D6:D7)</f>
        <v>31970600</v>
      </c>
      <c r="E5" s="26">
        <f t="shared" si="0"/>
        <v>36356600</v>
      </c>
      <c r="F5" s="26">
        <f t="shared" si="0"/>
        <v>46918900</v>
      </c>
      <c r="G5" s="26">
        <f t="shared" si="0"/>
        <v>63618300</v>
      </c>
      <c r="H5" s="26">
        <f t="shared" si="0"/>
        <v>99820300</v>
      </c>
      <c r="I5" s="26">
        <f t="shared" si="0"/>
        <v>63531800</v>
      </c>
      <c r="J5" s="26">
        <f t="shared" si="0"/>
        <v>39586000</v>
      </c>
      <c r="K5" s="26">
        <f t="shared" si="0"/>
        <v>62666300</v>
      </c>
      <c r="L5" s="26">
        <f t="shared" si="0"/>
        <v>52804400</v>
      </c>
      <c r="M5" s="26">
        <f t="shared" si="0"/>
        <v>71646200</v>
      </c>
      <c r="N5" s="26">
        <f t="shared" si="0"/>
        <v>114011400</v>
      </c>
      <c r="O5" s="26">
        <f>SUM(C5:N5)</f>
        <v>716380500</v>
      </c>
    </row>
    <row r="6" spans="1:15" ht="15.5" thickTop="1" thickBot="1" x14ac:dyDescent="0.4">
      <c r="B6" s="19" t="s">
        <v>8</v>
      </c>
      <c r="C6" s="20">
        <v>12370000</v>
      </c>
      <c r="D6" s="20">
        <v>21680000</v>
      </c>
      <c r="E6" s="20">
        <v>18454800</v>
      </c>
      <c r="F6" s="20">
        <v>32793000</v>
      </c>
      <c r="G6" s="20">
        <v>29754600</v>
      </c>
      <c r="H6" s="20">
        <v>69875000</v>
      </c>
      <c r="I6" s="20">
        <v>43100900</v>
      </c>
      <c r="J6" s="20">
        <v>16198200</v>
      </c>
      <c r="K6" s="20">
        <v>29738700</v>
      </c>
      <c r="L6" s="20">
        <v>27113000</v>
      </c>
      <c r="M6" s="20">
        <v>41958700</v>
      </c>
      <c r="N6" s="20">
        <v>82286600</v>
      </c>
      <c r="O6" s="21">
        <f t="shared" ref="O6:O44" si="1">SUM(C6:N6)</f>
        <v>425323500</v>
      </c>
    </row>
    <row r="7" spans="1:15" ht="15" thickBot="1" x14ac:dyDescent="0.4">
      <c r="B7" s="16" t="s">
        <v>22</v>
      </c>
      <c r="C7" s="17">
        <v>21079700</v>
      </c>
      <c r="D7" s="17">
        <v>10290600</v>
      </c>
      <c r="E7" s="17">
        <v>17901800</v>
      </c>
      <c r="F7" s="17">
        <v>14125900</v>
      </c>
      <c r="G7" s="17">
        <v>33863700</v>
      </c>
      <c r="H7" s="17">
        <v>29945300</v>
      </c>
      <c r="I7" s="17">
        <v>20430900</v>
      </c>
      <c r="J7" s="17">
        <v>23387800</v>
      </c>
      <c r="K7" s="17">
        <v>32927600</v>
      </c>
      <c r="L7" s="17">
        <v>25691400</v>
      </c>
      <c r="M7" s="17">
        <v>29687500</v>
      </c>
      <c r="N7" s="17">
        <v>31724800</v>
      </c>
      <c r="O7" s="18">
        <f t="shared" si="1"/>
        <v>291057000</v>
      </c>
    </row>
    <row r="8" spans="1:15" ht="15.5" thickTop="1" thickBot="1" x14ac:dyDescent="0.4">
      <c r="A8" s="24" t="s">
        <v>14</v>
      </c>
      <c r="B8" s="25"/>
      <c r="C8" s="26">
        <f>SUM(C9:C11)</f>
        <v>38886700</v>
      </c>
      <c r="D8" s="26">
        <f t="shared" ref="D8:N8" si="2">SUM(D9:D11)</f>
        <v>26913600</v>
      </c>
      <c r="E8" s="26">
        <f t="shared" si="2"/>
        <v>19090000</v>
      </c>
      <c r="F8" s="26">
        <f t="shared" si="2"/>
        <v>30206400</v>
      </c>
      <c r="G8" s="26">
        <f t="shared" si="2"/>
        <v>30075400</v>
      </c>
      <c r="H8" s="26">
        <f t="shared" si="2"/>
        <v>37264900</v>
      </c>
      <c r="I8" s="26">
        <f t="shared" si="2"/>
        <v>5355800</v>
      </c>
      <c r="J8" s="26">
        <f t="shared" si="2"/>
        <v>51389000</v>
      </c>
      <c r="K8" s="26">
        <f t="shared" si="2"/>
        <v>52050400</v>
      </c>
      <c r="L8" s="26">
        <f t="shared" si="2"/>
        <v>39155400</v>
      </c>
      <c r="M8" s="26">
        <f t="shared" si="2"/>
        <v>39915000</v>
      </c>
      <c r="N8" s="26">
        <f t="shared" si="2"/>
        <v>33305300</v>
      </c>
      <c r="O8" s="26">
        <f t="shared" si="1"/>
        <v>403607900</v>
      </c>
    </row>
    <row r="9" spans="1:15" ht="15.5" thickTop="1" thickBot="1" x14ac:dyDescent="0.4">
      <c r="A9" s="1"/>
      <c r="B9" s="19" t="s">
        <v>23</v>
      </c>
      <c r="C9" s="20">
        <v>5596000</v>
      </c>
      <c r="D9" s="20">
        <v>5200000</v>
      </c>
      <c r="E9" s="20">
        <v>4981900</v>
      </c>
      <c r="F9" s="20">
        <v>7229900</v>
      </c>
      <c r="G9" s="20">
        <v>6598400</v>
      </c>
      <c r="H9" s="20">
        <v>14308500</v>
      </c>
      <c r="I9" s="20">
        <v>181700</v>
      </c>
      <c r="J9" s="20">
        <v>39231900</v>
      </c>
      <c r="K9" s="20">
        <v>19655600</v>
      </c>
      <c r="L9" s="20">
        <v>13109100</v>
      </c>
      <c r="M9" s="20">
        <v>16449600</v>
      </c>
      <c r="N9" s="20">
        <v>3758100</v>
      </c>
      <c r="O9" s="21">
        <f t="shared" si="1"/>
        <v>136300700</v>
      </c>
    </row>
    <row r="10" spans="1:15" ht="15" thickBot="1" x14ac:dyDescent="0.4">
      <c r="A10" s="1"/>
      <c r="B10" s="9" t="s">
        <v>24</v>
      </c>
      <c r="C10" s="10">
        <v>27101500</v>
      </c>
      <c r="D10" s="10">
        <v>7106600</v>
      </c>
      <c r="E10" s="10">
        <v>10891900</v>
      </c>
      <c r="F10" s="10">
        <v>12423500</v>
      </c>
      <c r="G10" s="10">
        <v>4970900</v>
      </c>
      <c r="H10" s="10">
        <v>16633400</v>
      </c>
      <c r="I10" s="10">
        <v>1666700</v>
      </c>
      <c r="J10" s="10">
        <v>6208600</v>
      </c>
      <c r="K10" s="10">
        <v>11371800</v>
      </c>
      <c r="L10" s="10">
        <v>17846800</v>
      </c>
      <c r="M10" s="10">
        <v>20906700</v>
      </c>
      <c r="N10" s="10">
        <v>11370200</v>
      </c>
      <c r="O10" s="11">
        <f t="shared" si="1"/>
        <v>148498600</v>
      </c>
    </row>
    <row r="11" spans="1:15" ht="15" thickBot="1" x14ac:dyDescent="0.4">
      <c r="A11" s="1"/>
      <c r="B11" s="16" t="s">
        <v>25</v>
      </c>
      <c r="C11" s="17">
        <v>6189200</v>
      </c>
      <c r="D11" s="17">
        <v>14607000</v>
      </c>
      <c r="E11" s="17">
        <v>3216200</v>
      </c>
      <c r="F11" s="17">
        <v>10553000</v>
      </c>
      <c r="G11" s="17">
        <v>18506100</v>
      </c>
      <c r="H11" s="17">
        <v>6323000</v>
      </c>
      <c r="I11" s="17">
        <v>3507400</v>
      </c>
      <c r="J11" s="17">
        <v>5948500</v>
      </c>
      <c r="K11" s="17">
        <v>21023000</v>
      </c>
      <c r="L11" s="17">
        <v>8199500</v>
      </c>
      <c r="M11" s="17">
        <v>2558700</v>
      </c>
      <c r="N11" s="17">
        <v>18177000</v>
      </c>
      <c r="O11" s="18">
        <f t="shared" si="1"/>
        <v>118808600</v>
      </c>
    </row>
    <row r="12" spans="1:15" ht="15.5" thickTop="1" thickBot="1" x14ac:dyDescent="0.4">
      <c r="A12" s="24" t="s">
        <v>26</v>
      </c>
      <c r="B12" s="25"/>
      <c r="C12" s="26">
        <f>SUM(C13:C18)</f>
        <v>156203100</v>
      </c>
      <c r="D12" s="26">
        <f t="shared" ref="D12:N12" si="3">SUM(D13:D18)</f>
        <v>157641600</v>
      </c>
      <c r="E12" s="26">
        <f t="shared" si="3"/>
        <v>140646500</v>
      </c>
      <c r="F12" s="26">
        <f t="shared" si="3"/>
        <v>149974300</v>
      </c>
      <c r="G12" s="26">
        <f t="shared" si="3"/>
        <v>149425800</v>
      </c>
      <c r="H12" s="26">
        <f t="shared" si="3"/>
        <v>214945700</v>
      </c>
      <c r="I12" s="26">
        <f t="shared" si="3"/>
        <v>152461600</v>
      </c>
      <c r="J12" s="26">
        <f t="shared" si="3"/>
        <v>149172200</v>
      </c>
      <c r="K12" s="26">
        <f t="shared" si="3"/>
        <v>139859700</v>
      </c>
      <c r="L12" s="26">
        <f t="shared" si="3"/>
        <v>184672800</v>
      </c>
      <c r="M12" s="26">
        <f t="shared" si="3"/>
        <v>147430000</v>
      </c>
      <c r="N12" s="26">
        <f t="shared" si="3"/>
        <v>155729100</v>
      </c>
      <c r="O12" s="26">
        <f t="shared" si="1"/>
        <v>1898162400</v>
      </c>
    </row>
    <row r="13" spans="1:15" ht="15.5" thickTop="1" thickBot="1" x14ac:dyDescent="0.4">
      <c r="B13" s="19" t="s">
        <v>27</v>
      </c>
      <c r="C13" s="20">
        <v>29329500</v>
      </c>
      <c r="D13" s="20">
        <v>15585000</v>
      </c>
      <c r="E13" s="20">
        <v>34811800</v>
      </c>
      <c r="F13" s="20">
        <v>21044700</v>
      </c>
      <c r="G13" s="20">
        <v>24117100</v>
      </c>
      <c r="H13" s="20">
        <v>41830200</v>
      </c>
      <c r="I13" s="20">
        <v>22676500</v>
      </c>
      <c r="J13" s="20">
        <v>18666400</v>
      </c>
      <c r="K13" s="20">
        <v>30824100</v>
      </c>
      <c r="L13" s="20">
        <v>46809000</v>
      </c>
      <c r="M13" s="20">
        <v>38249100</v>
      </c>
      <c r="N13" s="20">
        <v>19011700</v>
      </c>
      <c r="O13" s="21">
        <f t="shared" si="1"/>
        <v>342955100</v>
      </c>
    </row>
    <row r="14" spans="1:15" ht="15" thickBot="1" x14ac:dyDescent="0.4">
      <c r="B14" s="9" t="s">
        <v>28</v>
      </c>
      <c r="C14" s="10">
        <v>12634700</v>
      </c>
      <c r="D14" s="10">
        <v>19719200</v>
      </c>
      <c r="E14" s="10">
        <v>25109300</v>
      </c>
      <c r="F14" s="10">
        <v>30790200</v>
      </c>
      <c r="G14" s="10">
        <v>19185500</v>
      </c>
      <c r="H14" s="10">
        <v>48640000</v>
      </c>
      <c r="I14" s="10">
        <v>31920200</v>
      </c>
      <c r="J14" s="10">
        <v>13650700</v>
      </c>
      <c r="K14" s="10">
        <v>25174200</v>
      </c>
      <c r="L14" s="10">
        <v>18156100</v>
      </c>
      <c r="M14" s="10">
        <v>22208900</v>
      </c>
      <c r="N14" s="10">
        <v>9397400</v>
      </c>
      <c r="O14" s="11">
        <f t="shared" si="1"/>
        <v>276586400</v>
      </c>
    </row>
    <row r="15" spans="1:15" ht="15" thickBot="1" x14ac:dyDescent="0.4">
      <c r="B15" s="9" t="s">
        <v>29</v>
      </c>
      <c r="C15" s="10">
        <v>22229500</v>
      </c>
      <c r="D15" s="10">
        <v>51729500</v>
      </c>
      <c r="E15" s="10">
        <v>23441200</v>
      </c>
      <c r="F15" s="10">
        <v>30122300</v>
      </c>
      <c r="G15" s="10">
        <v>29400000</v>
      </c>
      <c r="H15" s="10">
        <v>40957200</v>
      </c>
      <c r="I15" s="10">
        <v>18856000</v>
      </c>
      <c r="J15" s="10">
        <v>28425700</v>
      </c>
      <c r="K15" s="10">
        <v>33307200</v>
      </c>
      <c r="L15" s="10">
        <v>37615700</v>
      </c>
      <c r="M15" s="10">
        <v>25176100</v>
      </c>
      <c r="N15" s="10">
        <v>36219700</v>
      </c>
      <c r="O15" s="11">
        <f t="shared" si="1"/>
        <v>377480100</v>
      </c>
    </row>
    <row r="16" spans="1:15" ht="15" thickBot="1" x14ac:dyDescent="0.4">
      <c r="B16" s="9" t="s">
        <v>30</v>
      </c>
      <c r="C16" s="10">
        <v>44040200</v>
      </c>
      <c r="D16" s="10">
        <v>27787300</v>
      </c>
      <c r="E16" s="10">
        <v>21079600</v>
      </c>
      <c r="F16" s="10">
        <v>18181900</v>
      </c>
      <c r="G16" s="10">
        <v>23974000</v>
      </c>
      <c r="H16" s="10">
        <v>22926700</v>
      </c>
      <c r="I16" s="10">
        <v>26721000</v>
      </c>
      <c r="J16" s="10">
        <v>19352000</v>
      </c>
      <c r="K16" s="10">
        <v>15327200</v>
      </c>
      <c r="L16" s="10">
        <v>15111300</v>
      </c>
      <c r="M16" s="10">
        <v>11344800</v>
      </c>
      <c r="N16" s="10">
        <v>28011600</v>
      </c>
      <c r="O16" s="11">
        <f t="shared" si="1"/>
        <v>273857600</v>
      </c>
    </row>
    <row r="17" spans="1:15" ht="15" thickBot="1" x14ac:dyDescent="0.4">
      <c r="B17" s="9" t="s">
        <v>31</v>
      </c>
      <c r="C17" s="10">
        <v>19185800</v>
      </c>
      <c r="D17" s="10">
        <v>28329600</v>
      </c>
      <c r="E17" s="10">
        <v>24106200</v>
      </c>
      <c r="F17" s="10">
        <v>34148800</v>
      </c>
      <c r="G17" s="10">
        <v>20118000</v>
      </c>
      <c r="H17" s="10">
        <v>41768000</v>
      </c>
      <c r="I17" s="10">
        <v>18305000</v>
      </c>
      <c r="J17" s="10">
        <v>31335900</v>
      </c>
      <c r="K17" s="10">
        <v>16710600</v>
      </c>
      <c r="L17" s="10">
        <v>18089000</v>
      </c>
      <c r="M17" s="10">
        <v>35339900</v>
      </c>
      <c r="N17" s="10">
        <v>24691200</v>
      </c>
      <c r="O17" s="11">
        <f t="shared" si="1"/>
        <v>312128000</v>
      </c>
    </row>
    <row r="18" spans="1:15" ht="15" thickBot="1" x14ac:dyDescent="0.4">
      <c r="B18" s="16" t="s">
        <v>32</v>
      </c>
      <c r="C18" s="17">
        <v>28783400</v>
      </c>
      <c r="D18" s="17">
        <v>14491000</v>
      </c>
      <c r="E18" s="17">
        <v>12098400</v>
      </c>
      <c r="F18" s="17">
        <v>15686400</v>
      </c>
      <c r="G18" s="17">
        <v>32631200</v>
      </c>
      <c r="H18" s="17">
        <v>18823600</v>
      </c>
      <c r="I18" s="17">
        <v>33982900</v>
      </c>
      <c r="J18" s="17">
        <v>37741500</v>
      </c>
      <c r="K18" s="17">
        <v>18516400</v>
      </c>
      <c r="L18" s="17">
        <v>48891700</v>
      </c>
      <c r="M18" s="17">
        <v>15111200</v>
      </c>
      <c r="N18" s="17">
        <v>38397500</v>
      </c>
      <c r="O18" s="18">
        <f t="shared" si="1"/>
        <v>315155200</v>
      </c>
    </row>
    <row r="19" spans="1:15" ht="15.5" thickTop="1" thickBot="1" x14ac:dyDescent="0.4">
      <c r="A19" s="24" t="s">
        <v>33</v>
      </c>
      <c r="B19" s="25"/>
      <c r="C19" s="26">
        <f>SUM(C20:C22)</f>
        <v>27138700</v>
      </c>
      <c r="D19" s="26">
        <f t="shared" ref="D19:N19" si="4">SUM(D20:D22)</f>
        <v>5190200</v>
      </c>
      <c r="E19" s="26">
        <f t="shared" si="4"/>
        <v>25242300</v>
      </c>
      <c r="F19" s="26">
        <f t="shared" si="4"/>
        <v>8181000</v>
      </c>
      <c r="G19" s="26">
        <f t="shared" si="4"/>
        <v>31111600</v>
      </c>
      <c r="H19" s="26">
        <f t="shared" si="4"/>
        <v>26287100</v>
      </c>
      <c r="I19" s="26">
        <f t="shared" si="4"/>
        <v>19147400</v>
      </c>
      <c r="J19" s="26">
        <f t="shared" si="4"/>
        <v>25019600</v>
      </c>
      <c r="K19" s="26">
        <f t="shared" si="4"/>
        <v>23048200</v>
      </c>
      <c r="L19" s="26">
        <f t="shared" si="4"/>
        <v>34270000</v>
      </c>
      <c r="M19" s="26">
        <f t="shared" si="4"/>
        <v>51702500</v>
      </c>
      <c r="N19" s="26">
        <f t="shared" si="4"/>
        <v>21044000</v>
      </c>
      <c r="O19" s="26">
        <f t="shared" si="1"/>
        <v>297382600</v>
      </c>
    </row>
    <row r="20" spans="1:15" ht="14.5" customHeight="1" thickTop="1" thickBot="1" x14ac:dyDescent="0.4">
      <c r="B20" s="19" t="s">
        <v>34</v>
      </c>
      <c r="C20" s="20">
        <v>10266700</v>
      </c>
      <c r="D20" s="20">
        <v>0</v>
      </c>
      <c r="E20" s="20">
        <v>5472000</v>
      </c>
      <c r="F20" s="20">
        <v>4908200</v>
      </c>
      <c r="G20" s="20">
        <v>13312900</v>
      </c>
      <c r="H20" s="20">
        <v>9990000</v>
      </c>
      <c r="I20" s="20">
        <v>2776700</v>
      </c>
      <c r="J20" s="20">
        <v>7744000</v>
      </c>
      <c r="K20" s="20">
        <v>8673400</v>
      </c>
      <c r="L20" s="20">
        <v>2754700</v>
      </c>
      <c r="M20" s="20">
        <v>15420600</v>
      </c>
      <c r="N20" s="20">
        <v>8803600</v>
      </c>
      <c r="O20" s="21">
        <f t="shared" si="1"/>
        <v>90122800</v>
      </c>
    </row>
    <row r="21" spans="1:15" ht="15" thickBot="1" x14ac:dyDescent="0.4">
      <c r="B21" s="9" t="s">
        <v>35</v>
      </c>
      <c r="C21" s="10">
        <v>10682800</v>
      </c>
      <c r="D21" s="10">
        <v>2935900</v>
      </c>
      <c r="E21" s="10">
        <v>9040500</v>
      </c>
      <c r="F21" s="10">
        <v>0</v>
      </c>
      <c r="G21" s="10">
        <v>3827600</v>
      </c>
      <c r="H21" s="10">
        <v>11283600</v>
      </c>
      <c r="I21" s="10">
        <v>9422800</v>
      </c>
      <c r="J21" s="10">
        <v>6892400</v>
      </c>
      <c r="K21" s="10">
        <v>11147300</v>
      </c>
      <c r="L21" s="10">
        <v>19133400</v>
      </c>
      <c r="M21" s="10">
        <v>12809300</v>
      </c>
      <c r="N21" s="10">
        <v>11961300</v>
      </c>
      <c r="O21" s="11">
        <f t="shared" si="1"/>
        <v>109136900</v>
      </c>
    </row>
    <row r="22" spans="1:15" ht="15" thickBot="1" x14ac:dyDescent="0.4">
      <c r="B22" s="16" t="s">
        <v>64</v>
      </c>
      <c r="C22" s="17">
        <v>6189200</v>
      </c>
      <c r="D22" s="17">
        <v>2254300</v>
      </c>
      <c r="E22" s="17">
        <v>10729800</v>
      </c>
      <c r="F22" s="17">
        <v>3272800</v>
      </c>
      <c r="G22" s="17">
        <v>13971100</v>
      </c>
      <c r="H22" s="17">
        <v>5013500</v>
      </c>
      <c r="I22" s="17">
        <v>6947900</v>
      </c>
      <c r="J22" s="17">
        <v>10383200</v>
      </c>
      <c r="K22" s="17">
        <v>3227500</v>
      </c>
      <c r="L22" s="17">
        <v>12381900</v>
      </c>
      <c r="M22" s="17">
        <v>23472600</v>
      </c>
      <c r="N22" s="17">
        <v>279100</v>
      </c>
      <c r="O22" s="18">
        <f t="shared" si="1"/>
        <v>98122900</v>
      </c>
    </row>
    <row r="23" spans="1:15" ht="15.5" thickTop="1" thickBot="1" x14ac:dyDescent="0.4">
      <c r="A23" s="24" t="s">
        <v>36</v>
      </c>
      <c r="B23" s="25"/>
      <c r="C23" s="26">
        <f>SUM(C24:C27)</f>
        <v>70568500</v>
      </c>
      <c r="D23" s="26">
        <f t="shared" ref="D23:N23" si="5">SUM(D24:D27)</f>
        <v>62445800</v>
      </c>
      <c r="E23" s="26">
        <f t="shared" si="5"/>
        <v>99653400</v>
      </c>
      <c r="F23" s="26">
        <f t="shared" si="5"/>
        <v>82175200</v>
      </c>
      <c r="G23" s="26">
        <f t="shared" si="5"/>
        <v>81182600</v>
      </c>
      <c r="H23" s="26">
        <f t="shared" si="5"/>
        <v>115432400</v>
      </c>
      <c r="I23" s="26">
        <f t="shared" si="5"/>
        <v>90899500</v>
      </c>
      <c r="J23" s="26">
        <f t="shared" si="5"/>
        <v>50076400</v>
      </c>
      <c r="K23" s="26">
        <f t="shared" si="5"/>
        <v>126257000</v>
      </c>
      <c r="L23" s="26">
        <f t="shared" si="5"/>
        <v>166046100</v>
      </c>
      <c r="M23" s="26">
        <f t="shared" si="5"/>
        <v>158415700</v>
      </c>
      <c r="N23" s="26">
        <f t="shared" si="5"/>
        <v>111654900</v>
      </c>
      <c r="O23" s="26">
        <f t="shared" si="1"/>
        <v>1214807500</v>
      </c>
    </row>
    <row r="24" spans="1:15" ht="15.5" thickTop="1" thickBot="1" x14ac:dyDescent="0.4">
      <c r="B24" s="19" t="s">
        <v>37</v>
      </c>
      <c r="C24" s="20">
        <v>35052700</v>
      </c>
      <c r="D24" s="20">
        <v>7147600</v>
      </c>
      <c r="E24" s="20">
        <v>34298800</v>
      </c>
      <c r="F24" s="20">
        <v>19039400</v>
      </c>
      <c r="G24" s="20">
        <v>25606900</v>
      </c>
      <c r="H24" s="20">
        <v>17530900</v>
      </c>
      <c r="I24" s="20">
        <v>15500000</v>
      </c>
      <c r="J24" s="20">
        <v>13273900</v>
      </c>
      <c r="K24" s="20">
        <v>13634800</v>
      </c>
      <c r="L24" s="20">
        <v>40085300</v>
      </c>
      <c r="M24" s="20">
        <v>31501500</v>
      </c>
      <c r="N24" s="20">
        <v>37107300</v>
      </c>
      <c r="O24" s="21">
        <f t="shared" si="1"/>
        <v>289779100</v>
      </c>
    </row>
    <row r="25" spans="1:15" ht="15" thickBot="1" x14ac:dyDescent="0.4">
      <c r="B25" s="9" t="s">
        <v>38</v>
      </c>
      <c r="C25" s="10">
        <v>12013900</v>
      </c>
      <c r="D25" s="10">
        <v>21123900</v>
      </c>
      <c r="E25" s="10">
        <v>16742800</v>
      </c>
      <c r="F25" s="10">
        <v>18307900</v>
      </c>
      <c r="G25" s="10">
        <v>20068400</v>
      </c>
      <c r="H25" s="10">
        <v>21147300</v>
      </c>
      <c r="I25" s="10">
        <v>28885100</v>
      </c>
      <c r="J25" s="10">
        <v>11132800</v>
      </c>
      <c r="K25" s="10">
        <v>18823600</v>
      </c>
      <c r="L25" s="10">
        <v>36401800</v>
      </c>
      <c r="M25" s="10">
        <v>51481900</v>
      </c>
      <c r="N25" s="10">
        <v>18798500</v>
      </c>
      <c r="O25" s="11">
        <f t="shared" si="1"/>
        <v>274927900</v>
      </c>
    </row>
    <row r="26" spans="1:15" ht="15" thickBot="1" x14ac:dyDescent="0.4">
      <c r="B26" s="9" t="s">
        <v>39</v>
      </c>
      <c r="C26" s="10">
        <v>19320000</v>
      </c>
      <c r="D26" s="10">
        <v>19256100</v>
      </c>
      <c r="E26" s="10">
        <v>33679600</v>
      </c>
      <c r="F26" s="10">
        <v>19764800</v>
      </c>
      <c r="G26" s="10">
        <v>17337300</v>
      </c>
      <c r="H26" s="10">
        <v>25879400</v>
      </c>
      <c r="I26" s="10">
        <v>25712200</v>
      </c>
      <c r="J26" s="10">
        <v>13871800</v>
      </c>
      <c r="K26" s="10">
        <v>45184300</v>
      </c>
      <c r="L26" s="10">
        <v>50829000</v>
      </c>
      <c r="M26" s="10">
        <v>40241100</v>
      </c>
      <c r="N26" s="10">
        <v>30947700</v>
      </c>
      <c r="O26" s="11">
        <f t="shared" si="1"/>
        <v>342023300</v>
      </c>
    </row>
    <row r="27" spans="1:15" ht="15" thickBot="1" x14ac:dyDescent="0.4">
      <c r="B27" s="16" t="s">
        <v>40</v>
      </c>
      <c r="C27" s="17">
        <v>4181900</v>
      </c>
      <c r="D27" s="17">
        <v>14918200</v>
      </c>
      <c r="E27" s="17">
        <v>14932200</v>
      </c>
      <c r="F27" s="17">
        <v>25063100</v>
      </c>
      <c r="G27" s="17">
        <v>18170000</v>
      </c>
      <c r="H27" s="17">
        <v>50874800</v>
      </c>
      <c r="I27" s="17">
        <v>20802200</v>
      </c>
      <c r="J27" s="17">
        <v>11797900</v>
      </c>
      <c r="K27" s="17">
        <v>48614300</v>
      </c>
      <c r="L27" s="17">
        <v>38730000</v>
      </c>
      <c r="M27" s="17">
        <v>35191200</v>
      </c>
      <c r="N27" s="17">
        <v>24801400</v>
      </c>
      <c r="O27" s="18">
        <f t="shared" si="1"/>
        <v>308077200</v>
      </c>
    </row>
    <row r="28" spans="1:15" ht="15.5" thickTop="1" thickBot="1" x14ac:dyDescent="0.4">
      <c r="A28" s="24" t="s">
        <v>41</v>
      </c>
      <c r="B28" s="25"/>
      <c r="C28" s="26">
        <f>SUM(C29:C32)</f>
        <v>26486100</v>
      </c>
      <c r="D28" s="26">
        <f t="shared" ref="D28:N28" si="6">SUM(D29:D32)</f>
        <v>41358300</v>
      </c>
      <c r="E28" s="26">
        <f t="shared" si="6"/>
        <v>46980300</v>
      </c>
      <c r="F28" s="26">
        <f t="shared" si="6"/>
        <v>37078300</v>
      </c>
      <c r="G28" s="26">
        <f t="shared" si="6"/>
        <v>20263000</v>
      </c>
      <c r="H28" s="26">
        <f t="shared" si="6"/>
        <v>46350400</v>
      </c>
      <c r="I28" s="26">
        <f t="shared" si="6"/>
        <v>51606600</v>
      </c>
      <c r="J28" s="26">
        <f t="shared" si="6"/>
        <v>46397800</v>
      </c>
      <c r="K28" s="26">
        <f t="shared" si="6"/>
        <v>22087400</v>
      </c>
      <c r="L28" s="26">
        <f t="shared" si="6"/>
        <v>22046900</v>
      </c>
      <c r="M28" s="26">
        <f t="shared" si="6"/>
        <v>28313200</v>
      </c>
      <c r="N28" s="26">
        <f t="shared" si="6"/>
        <v>22897800</v>
      </c>
      <c r="O28" s="26">
        <f t="shared" si="1"/>
        <v>411866100</v>
      </c>
    </row>
    <row r="29" spans="1:15" ht="15.5" thickTop="1" thickBot="1" x14ac:dyDescent="0.4">
      <c r="B29" s="19" t="s">
        <v>42</v>
      </c>
      <c r="C29" s="20">
        <v>5584000</v>
      </c>
      <c r="D29" s="20">
        <v>11600000</v>
      </c>
      <c r="E29" s="20">
        <v>9615400</v>
      </c>
      <c r="F29" s="20">
        <v>6722100</v>
      </c>
      <c r="G29" s="20">
        <v>3039300</v>
      </c>
      <c r="H29" s="20">
        <v>5438600</v>
      </c>
      <c r="I29" s="20">
        <v>10939200</v>
      </c>
      <c r="J29" s="20">
        <v>13415400</v>
      </c>
      <c r="K29" s="20">
        <v>9138300</v>
      </c>
      <c r="L29" s="20">
        <v>9629100</v>
      </c>
      <c r="M29" s="20">
        <v>15270600</v>
      </c>
      <c r="N29" s="20">
        <v>2816600</v>
      </c>
      <c r="O29" s="21">
        <f t="shared" si="1"/>
        <v>103208600</v>
      </c>
    </row>
    <row r="30" spans="1:15" ht="15" thickBot="1" x14ac:dyDescent="0.4">
      <c r="B30" s="9" t="s">
        <v>43</v>
      </c>
      <c r="C30" s="10">
        <v>8264800</v>
      </c>
      <c r="D30" s="10">
        <v>5746000</v>
      </c>
      <c r="E30" s="10">
        <v>9201900</v>
      </c>
      <c r="F30" s="10">
        <v>11976700</v>
      </c>
      <c r="G30" s="10">
        <v>2660700</v>
      </c>
      <c r="H30" s="10">
        <v>8189500</v>
      </c>
      <c r="I30" s="10">
        <v>11990200</v>
      </c>
      <c r="J30" s="10">
        <v>18293400</v>
      </c>
      <c r="K30" s="10">
        <v>6695700</v>
      </c>
      <c r="L30" s="10">
        <v>0</v>
      </c>
      <c r="M30" s="10">
        <v>0</v>
      </c>
      <c r="N30" s="10">
        <v>6591900</v>
      </c>
      <c r="O30" s="11">
        <f t="shared" si="1"/>
        <v>89610800</v>
      </c>
    </row>
    <row r="31" spans="1:15" ht="15" thickBot="1" x14ac:dyDescent="0.4">
      <c r="B31" s="9" t="s">
        <v>44</v>
      </c>
      <c r="C31" s="10">
        <v>5508500</v>
      </c>
      <c r="D31" s="10">
        <v>7234800</v>
      </c>
      <c r="E31" s="10">
        <v>20313400</v>
      </c>
      <c r="F31" s="10">
        <v>3483200</v>
      </c>
      <c r="G31" s="10">
        <v>11610600</v>
      </c>
      <c r="H31" s="10">
        <v>28305600</v>
      </c>
      <c r="I31" s="10">
        <v>18774200</v>
      </c>
      <c r="J31" s="10">
        <v>10358700</v>
      </c>
      <c r="K31" s="10">
        <v>6253400</v>
      </c>
      <c r="L31" s="10">
        <v>9640000</v>
      </c>
      <c r="M31" s="10">
        <v>3795400</v>
      </c>
      <c r="N31" s="10">
        <v>6284100</v>
      </c>
      <c r="O31" s="11">
        <f t="shared" si="1"/>
        <v>131561900</v>
      </c>
    </row>
    <row r="32" spans="1:15" ht="15" thickBot="1" x14ac:dyDescent="0.4">
      <c r="B32" s="16" t="s">
        <v>45</v>
      </c>
      <c r="C32" s="17">
        <v>7128800</v>
      </c>
      <c r="D32" s="17">
        <v>16777500</v>
      </c>
      <c r="E32" s="17">
        <v>7849600</v>
      </c>
      <c r="F32" s="17">
        <v>14896300</v>
      </c>
      <c r="G32" s="17">
        <v>2952400</v>
      </c>
      <c r="H32" s="17">
        <v>4416700</v>
      </c>
      <c r="I32" s="17">
        <v>9903000</v>
      </c>
      <c r="J32" s="17">
        <v>4330300</v>
      </c>
      <c r="K32" s="17">
        <v>0</v>
      </c>
      <c r="L32" s="17">
        <v>2777800</v>
      </c>
      <c r="M32" s="17">
        <v>9247200</v>
      </c>
      <c r="N32" s="17">
        <v>7205200</v>
      </c>
      <c r="O32" s="18">
        <f t="shared" si="1"/>
        <v>87484800</v>
      </c>
    </row>
    <row r="33" spans="1:15" ht="15.5" thickTop="1" thickBot="1" x14ac:dyDescent="0.4">
      <c r="A33" s="24" t="s">
        <v>46</v>
      </c>
      <c r="B33" s="25"/>
      <c r="C33" s="26">
        <f>SUM(C34:C36)</f>
        <v>13837100</v>
      </c>
      <c r="D33" s="26">
        <f t="shared" ref="D33:N33" si="7">SUM(D34:D36)</f>
        <v>15729100</v>
      </c>
      <c r="E33" s="26">
        <f t="shared" si="7"/>
        <v>12968000</v>
      </c>
      <c r="F33" s="26">
        <f t="shared" si="7"/>
        <v>8810100</v>
      </c>
      <c r="G33" s="26">
        <f t="shared" si="7"/>
        <v>23527900</v>
      </c>
      <c r="H33" s="26">
        <f t="shared" si="7"/>
        <v>29077700</v>
      </c>
      <c r="I33" s="26">
        <f t="shared" si="7"/>
        <v>39027800</v>
      </c>
      <c r="J33" s="26">
        <f t="shared" si="7"/>
        <v>126002300</v>
      </c>
      <c r="K33" s="26">
        <f t="shared" si="7"/>
        <v>25704800</v>
      </c>
      <c r="L33" s="26">
        <f t="shared" si="7"/>
        <v>51294300</v>
      </c>
      <c r="M33" s="26">
        <f t="shared" si="7"/>
        <v>38468200</v>
      </c>
      <c r="N33" s="26">
        <f t="shared" si="7"/>
        <v>62138500</v>
      </c>
      <c r="O33" s="26">
        <f t="shared" si="1"/>
        <v>446585800</v>
      </c>
    </row>
    <row r="34" spans="1:15" ht="15.5" thickTop="1" thickBot="1" x14ac:dyDescent="0.4">
      <c r="A34" s="1"/>
      <c r="B34" s="19" t="s">
        <v>47</v>
      </c>
      <c r="C34" s="20">
        <v>6606600</v>
      </c>
      <c r="D34" s="20">
        <v>7780800</v>
      </c>
      <c r="E34" s="20">
        <v>2792700</v>
      </c>
      <c r="F34" s="20">
        <v>4141800</v>
      </c>
      <c r="G34" s="20">
        <v>5129100</v>
      </c>
      <c r="H34" s="20">
        <v>7831400</v>
      </c>
      <c r="I34" s="20">
        <v>11253400</v>
      </c>
      <c r="J34" s="20">
        <v>46176500</v>
      </c>
      <c r="K34" s="20">
        <v>1877100</v>
      </c>
      <c r="L34" s="20">
        <v>31841200</v>
      </c>
      <c r="M34" s="20">
        <v>15434800</v>
      </c>
      <c r="N34" s="20">
        <v>18156800</v>
      </c>
      <c r="O34" s="21">
        <f t="shared" si="1"/>
        <v>159022200</v>
      </c>
    </row>
    <row r="35" spans="1:15" ht="15" thickBot="1" x14ac:dyDescent="0.4">
      <c r="A35" s="1"/>
      <c r="B35" s="9" t="s">
        <v>48</v>
      </c>
      <c r="C35" s="10">
        <v>3317800</v>
      </c>
      <c r="D35" s="10">
        <v>0</v>
      </c>
      <c r="E35" s="10">
        <v>6200000</v>
      </c>
      <c r="F35" s="10">
        <v>0</v>
      </c>
      <c r="G35" s="10">
        <v>2267400</v>
      </c>
      <c r="H35" s="10">
        <v>12705700</v>
      </c>
      <c r="I35" s="10">
        <v>21270300</v>
      </c>
      <c r="J35" s="10">
        <v>50948400</v>
      </c>
      <c r="K35" s="10">
        <v>19645000</v>
      </c>
      <c r="L35" s="10">
        <v>15132300</v>
      </c>
      <c r="M35" s="10">
        <v>13277800</v>
      </c>
      <c r="N35" s="10">
        <v>14793200</v>
      </c>
      <c r="O35" s="11">
        <f t="shared" si="1"/>
        <v>159557900</v>
      </c>
    </row>
    <row r="36" spans="1:15" ht="15" thickBot="1" x14ac:dyDescent="0.4">
      <c r="A36" s="1"/>
      <c r="B36" s="16" t="s">
        <v>49</v>
      </c>
      <c r="C36" s="17">
        <v>3912700</v>
      </c>
      <c r="D36" s="17">
        <v>7948300</v>
      </c>
      <c r="E36" s="17">
        <v>3975300</v>
      </c>
      <c r="F36" s="17">
        <v>4668300</v>
      </c>
      <c r="G36" s="17">
        <v>16131400</v>
      </c>
      <c r="H36" s="17">
        <v>8540600</v>
      </c>
      <c r="I36" s="17">
        <v>6504100</v>
      </c>
      <c r="J36" s="17">
        <v>28877400</v>
      </c>
      <c r="K36" s="17">
        <v>4182700</v>
      </c>
      <c r="L36" s="17">
        <v>4320800</v>
      </c>
      <c r="M36" s="17">
        <v>9755600</v>
      </c>
      <c r="N36" s="17">
        <v>29188500</v>
      </c>
      <c r="O36" s="18">
        <f t="shared" si="1"/>
        <v>128005700</v>
      </c>
    </row>
    <row r="37" spans="1:15" ht="15.5" thickTop="1" thickBot="1" x14ac:dyDescent="0.4">
      <c r="A37" s="24" t="s">
        <v>50</v>
      </c>
      <c r="B37" s="25"/>
      <c r="C37" s="26">
        <f>C38</f>
        <v>0</v>
      </c>
      <c r="D37" s="26">
        <f t="shared" ref="D37:N37" si="8">D38</f>
        <v>0</v>
      </c>
      <c r="E37" s="26">
        <f t="shared" si="8"/>
        <v>0</v>
      </c>
      <c r="F37" s="26">
        <f t="shared" si="8"/>
        <v>3127500</v>
      </c>
      <c r="G37" s="26">
        <f t="shared" si="8"/>
        <v>0</v>
      </c>
      <c r="H37" s="26">
        <f t="shared" si="8"/>
        <v>0</v>
      </c>
      <c r="I37" s="26">
        <f t="shared" si="8"/>
        <v>2981400</v>
      </c>
      <c r="J37" s="26">
        <f t="shared" si="8"/>
        <v>0</v>
      </c>
      <c r="K37" s="26">
        <f t="shared" si="8"/>
        <v>0</v>
      </c>
      <c r="L37" s="26">
        <f t="shared" si="8"/>
        <v>0</v>
      </c>
      <c r="M37" s="26">
        <f t="shared" si="8"/>
        <v>4089800</v>
      </c>
      <c r="N37" s="26">
        <f t="shared" si="8"/>
        <v>0</v>
      </c>
      <c r="O37" s="26">
        <f t="shared" si="1"/>
        <v>10198700</v>
      </c>
    </row>
    <row r="38" spans="1:15" ht="15.5" thickTop="1" thickBot="1" x14ac:dyDescent="0.4">
      <c r="A38" s="1"/>
      <c r="B38" t="s">
        <v>51</v>
      </c>
      <c r="C38" s="22">
        <v>0</v>
      </c>
      <c r="D38" s="22">
        <v>0</v>
      </c>
      <c r="E38" s="22">
        <v>0</v>
      </c>
      <c r="F38" s="22">
        <v>3127500</v>
      </c>
      <c r="G38" s="22">
        <v>0</v>
      </c>
      <c r="H38" s="22">
        <v>0</v>
      </c>
      <c r="I38" s="22">
        <v>2981400</v>
      </c>
      <c r="J38" s="22">
        <v>0</v>
      </c>
      <c r="K38" s="22">
        <v>0</v>
      </c>
      <c r="L38" s="22">
        <v>0</v>
      </c>
      <c r="M38" s="22">
        <v>4089800</v>
      </c>
      <c r="N38" s="22">
        <v>0</v>
      </c>
      <c r="O38" s="23">
        <f t="shared" si="1"/>
        <v>10198700</v>
      </c>
    </row>
    <row r="39" spans="1:15" ht="15.5" thickTop="1" thickBot="1" x14ac:dyDescent="0.4">
      <c r="A39" s="24" t="s">
        <v>52</v>
      </c>
      <c r="B39" s="25"/>
      <c r="C39" s="26">
        <f>C40</f>
        <v>0</v>
      </c>
      <c r="D39" s="26">
        <f t="shared" ref="D39:N39" si="9">D40</f>
        <v>0</v>
      </c>
      <c r="E39" s="26">
        <f t="shared" si="9"/>
        <v>0</v>
      </c>
      <c r="F39" s="26">
        <f t="shared" si="9"/>
        <v>0</v>
      </c>
      <c r="G39" s="26">
        <f t="shared" si="9"/>
        <v>0</v>
      </c>
      <c r="H39" s="26">
        <f t="shared" si="9"/>
        <v>0</v>
      </c>
      <c r="I39" s="26">
        <f t="shared" si="9"/>
        <v>0</v>
      </c>
      <c r="J39" s="26">
        <f t="shared" si="9"/>
        <v>0</v>
      </c>
      <c r="K39" s="26">
        <f t="shared" si="9"/>
        <v>0</v>
      </c>
      <c r="L39" s="26">
        <f t="shared" si="9"/>
        <v>0</v>
      </c>
      <c r="M39" s="26">
        <f t="shared" si="9"/>
        <v>0</v>
      </c>
      <c r="N39" s="26">
        <f t="shared" si="9"/>
        <v>0</v>
      </c>
      <c r="O39" s="26">
        <f t="shared" si="1"/>
        <v>0</v>
      </c>
    </row>
    <row r="40" spans="1:15" ht="15.5" thickTop="1" thickBot="1" x14ac:dyDescent="0.4">
      <c r="A40" s="1"/>
      <c r="B40" t="s">
        <v>53</v>
      </c>
      <c r="C40" s="22">
        <v>0</v>
      </c>
      <c r="D40" s="22">
        <v>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3">
        <f t="shared" si="1"/>
        <v>0</v>
      </c>
    </row>
    <row r="41" spans="1:15" ht="15.5" thickTop="1" thickBot="1" x14ac:dyDescent="0.4">
      <c r="A41" s="24" t="s">
        <v>54</v>
      </c>
      <c r="B41" s="25"/>
      <c r="C41" s="26">
        <f>SUM(C42:C43)</f>
        <v>0</v>
      </c>
      <c r="D41" s="26">
        <f t="shared" ref="D41:N41" si="10">SUM(D42:D43)</f>
        <v>0</v>
      </c>
      <c r="E41" s="26">
        <f t="shared" si="10"/>
        <v>0</v>
      </c>
      <c r="F41" s="26">
        <f t="shared" si="10"/>
        <v>0</v>
      </c>
      <c r="G41" s="26">
        <f t="shared" si="10"/>
        <v>0</v>
      </c>
      <c r="H41" s="26">
        <f t="shared" si="10"/>
        <v>0</v>
      </c>
      <c r="I41" s="26">
        <f t="shared" si="10"/>
        <v>0</v>
      </c>
      <c r="J41" s="26">
        <f t="shared" si="10"/>
        <v>0</v>
      </c>
      <c r="K41" s="26">
        <f t="shared" si="10"/>
        <v>0</v>
      </c>
      <c r="L41" s="26">
        <f t="shared" si="10"/>
        <v>0</v>
      </c>
      <c r="M41" s="26">
        <f t="shared" si="10"/>
        <v>0</v>
      </c>
      <c r="N41" s="26">
        <f t="shared" si="10"/>
        <v>0</v>
      </c>
      <c r="O41" s="26">
        <f t="shared" si="1"/>
        <v>0</v>
      </c>
    </row>
    <row r="42" spans="1:15" ht="15.5" thickTop="1" thickBot="1" x14ac:dyDescent="0.4">
      <c r="A42" s="1"/>
      <c r="B42" s="19" t="s">
        <v>55</v>
      </c>
      <c r="C42" s="20">
        <v>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0</v>
      </c>
      <c r="N42" s="20">
        <v>0</v>
      </c>
      <c r="O42" s="21">
        <f t="shared" si="1"/>
        <v>0</v>
      </c>
    </row>
    <row r="43" spans="1:15" ht="15" thickBot="1" x14ac:dyDescent="0.4">
      <c r="A43" s="1"/>
      <c r="B43" s="9" t="s">
        <v>56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1">
        <f t="shared" si="1"/>
        <v>0</v>
      </c>
    </row>
    <row r="44" spans="1:15" ht="15" thickBot="1" x14ac:dyDescent="0.4">
      <c r="A44" s="7" t="s">
        <v>61</v>
      </c>
      <c r="B44" s="12"/>
      <c r="C44" s="13">
        <f>C5+C8+C12+C19+C23+C28+C33+C37+C39+C41</f>
        <v>366569900</v>
      </c>
      <c r="D44" s="13">
        <f t="shared" ref="D44:N44" si="11">D5+D8+D12+D19+D23+D28+D33+D37+D39+D41</f>
        <v>341249200</v>
      </c>
      <c r="E44" s="13">
        <f t="shared" si="11"/>
        <v>380937100</v>
      </c>
      <c r="F44" s="13">
        <f t="shared" si="11"/>
        <v>366471700</v>
      </c>
      <c r="G44" s="13">
        <f t="shared" si="11"/>
        <v>399204600</v>
      </c>
      <c r="H44" s="13">
        <f t="shared" si="11"/>
        <v>569178500</v>
      </c>
      <c r="I44" s="13">
        <f t="shared" si="11"/>
        <v>425011900</v>
      </c>
      <c r="J44" s="13">
        <f t="shared" si="11"/>
        <v>487643300</v>
      </c>
      <c r="K44" s="13">
        <f t="shared" si="11"/>
        <v>451673800</v>
      </c>
      <c r="L44" s="13">
        <f t="shared" si="11"/>
        <v>550289900</v>
      </c>
      <c r="M44" s="13">
        <f t="shared" si="11"/>
        <v>539980600</v>
      </c>
      <c r="N44" s="13">
        <f t="shared" si="11"/>
        <v>520781000</v>
      </c>
      <c r="O44" s="13">
        <f t="shared" si="1"/>
        <v>5398991500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a86b71d-a296-4652-a177-3f1c2c427c3b">
      <Terms xmlns="http://schemas.microsoft.com/office/infopath/2007/PartnerControls"/>
    </lcf76f155ced4ddcb4097134ff3c332f>
    <TaxCatchAll xmlns="b0b0b243-3257-4288-8fd6-01a489e5b05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9256D3BEE5F6419D66BCF825111C80" ma:contentTypeVersion="18" ma:contentTypeDescription="Create a new document." ma:contentTypeScope="" ma:versionID="1595e157517fd6c543112c68e86f1788">
  <xsd:schema xmlns:xsd="http://www.w3.org/2001/XMLSchema" xmlns:xs="http://www.w3.org/2001/XMLSchema" xmlns:p="http://schemas.microsoft.com/office/2006/metadata/properties" xmlns:ns2="ca86b71d-a296-4652-a177-3f1c2c427c3b" xmlns:ns3="b0b0b243-3257-4288-8fd6-01a489e5b053" targetNamespace="http://schemas.microsoft.com/office/2006/metadata/properties" ma:root="true" ma:fieldsID="c47c7f6dbcd04a05673982742361108e" ns2:_="" ns3:_="">
    <xsd:import namespace="ca86b71d-a296-4652-a177-3f1c2c427c3b"/>
    <xsd:import namespace="b0b0b243-3257-4288-8fd6-01a489e5b0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86b71d-a296-4652-a177-3f1c2c427c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b486171-594d-4621-b4d0-f2509100c2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b0b243-3257-4288-8fd6-01a489e5b053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6d6d8c5b-f4f4-4a1c-88e8-507134beb9b5}" ma:internalName="TaxCatchAll" ma:showField="CatchAllData" ma:web="b0b0b243-3257-4288-8fd6-01a489e5b0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A0CCF1-9B57-44AE-9C70-2D2A853DC15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6B69B77-5178-4B29-BE35-9BE074F08955}">
  <ds:schemaRefs>
    <ds:schemaRef ds:uri="http://schemas.microsoft.com/office/2006/metadata/properties"/>
    <ds:schemaRef ds:uri="http://schemas.microsoft.com/office/infopath/2007/PartnerControls"/>
    <ds:schemaRef ds:uri="ca86b71d-a296-4652-a177-3f1c2c427c3b"/>
    <ds:schemaRef ds:uri="b0b0b243-3257-4288-8fd6-01a489e5b053"/>
  </ds:schemaRefs>
</ds:datastoreItem>
</file>

<file path=customXml/itemProps3.xml><?xml version="1.0" encoding="utf-8"?>
<ds:datastoreItem xmlns:ds="http://schemas.openxmlformats.org/officeDocument/2006/customXml" ds:itemID="{A1B52C43-4CEE-47C6-A2F0-16257A93A3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86b71d-a296-4652-a177-3f1c2c427c3b"/>
    <ds:schemaRef ds:uri="b0b0b243-3257-4288-8fd6-01a489e5b05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Kế Hoạch 2022</vt:lpstr>
      <vt:lpstr>Kế Hoạch 2021</vt:lpstr>
      <vt:lpstr>Kế Hoạch 2020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Duc Nguyen</dc:creator>
  <cp:keywords/>
  <dc:description/>
  <cp:lastModifiedBy>Annie Nguyen</cp:lastModifiedBy>
  <cp:revision/>
  <dcterms:created xsi:type="dcterms:W3CDTF">2023-03-06T07:32:13Z</dcterms:created>
  <dcterms:modified xsi:type="dcterms:W3CDTF">2026-07-15T22:47:59Z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0x010100869256D3BEE5F6419D66BCF825111C80</vt:lpwstr>
  </property>
  <property fmtid="{D5CDD505-2E9C-101B-9397-08002B2CF9AE}" pid="3" name="MediaServiceImageTags">
    <vt:lpwstr/>
  </property>
</Properties>
</file>